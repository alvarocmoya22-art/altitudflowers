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91B2A2F00F17967/Escritorio/Altitud_Flowers_Dashboard_Web/"/>
    </mc:Choice>
  </mc:AlternateContent>
  <xr:revisionPtr revIDLastSave="1212" documentId="8_{14591FB6-0397-4774-9399-CABB73173D6A}" xr6:coauthVersionLast="47" xr6:coauthVersionMax="47" xr10:uidLastSave="{8E278372-E1D6-4804-8CFB-341E3ED445A6}"/>
  <bookViews>
    <workbookView xWindow="-110" yWindow="-110" windowWidth="25820" windowHeight="15500" xr2:uid="{00000000-000D-0000-FFFF-FFFF00000000}"/>
  </bookViews>
  <sheets>
    <sheet name="GUIA_GOOGLE_SHEETS" sheetId="15" r:id="rId1"/>
    <sheet name="DATOS_WEB" sheetId="1" r:id="rId2"/>
    <sheet name="PEDIDOS" sheetId="2" r:id="rId3"/>
    <sheet name="ESTADO_CUENTA" sheetId="3" r:id="rId4"/>
    <sheet name="PROYECCION_COSECHA" sheetId="4" r:id="rId5"/>
    <sheet name="INVENTARIO" sheetId="5" r:id="rId6"/>
    <sheet name="NACIONAL" sheetId="6" r:id="rId7"/>
    <sheet name="NOTAS_CREDITO" sheetId="8" r:id="rId8"/>
    <sheet name="RENDIMIENTO_PROCESADORAS" sheetId="14" r:id="rId9"/>
    <sheet name="GESTOR_BD" sheetId="11" r:id="rId10"/>
    <sheet name="DICCIONARIO_BD" sheetId="12" r:id="rId11"/>
    <sheet name="CONTROL_BD" sheetId="13" r:id="rId12"/>
  </sheets>
  <definedNames>
    <definedName name="_xlnm._FilterDatabase" localSheetId="1" hidden="1">DATOS_WEB!$A$1:$U$251</definedName>
    <definedName name="_xlnm._FilterDatabase" localSheetId="3" hidden="1">ESTADO_CUENTA!$A$1:$K$68</definedName>
    <definedName name="_xlnm._FilterDatabase" localSheetId="5" hidden="1">INVENTARIO!$A$1:$J$20</definedName>
    <definedName name="_xlnm._FilterDatabase" localSheetId="6" hidden="1">NACIONAL!$A$1:$I$23</definedName>
    <definedName name="_xlnm._FilterDatabase" localSheetId="7" hidden="1">NOTAS_CREDITO!$A$1:$G$4</definedName>
    <definedName name="_xlnm._FilterDatabase" localSheetId="2" hidden="1">PEDIDOS!$A$1:$P$179</definedName>
    <definedName name="_xlnm._FilterDatabase" localSheetId="4" hidden="1">PROYECCION_COSECHA!$A$1:$J$31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4" l="1"/>
  <c r="Q12" i="14"/>
  <c r="P12" i="14"/>
  <c r="G13" i="13" a="1"/>
  <c r="D13" i="13" a="1"/>
  <c r="G5" i="13" a="1"/>
  <c r="D5" i="13" a="1"/>
  <c r="A12" i="14"/>
  <c r="S71" i="14"/>
  <c r="S70" i="14"/>
  <c r="S69" i="14"/>
  <c r="S68" i="14"/>
  <c r="S67" i="14"/>
  <c r="S66" i="14"/>
  <c r="S65" i="14"/>
  <c r="S64" i="14"/>
  <c r="S63" i="14"/>
  <c r="S62" i="14"/>
  <c r="S61" i="14"/>
  <c r="S60" i="14"/>
  <c r="S59" i="14"/>
  <c r="S58" i="14"/>
  <c r="S57" i="14"/>
  <c r="S56" i="14"/>
  <c r="S55" i="14"/>
  <c r="S54" i="14"/>
  <c r="S53" i="14"/>
  <c r="S52" i="14"/>
  <c r="S51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8" i="14"/>
  <c r="S37" i="14"/>
  <c r="S36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B7" i="14"/>
  <c r="C7" i="14"/>
  <c r="D7" i="14"/>
  <c r="B8" i="14"/>
  <c r="C8" i="14"/>
  <c r="D8" i="14"/>
  <c r="D6" i="14"/>
  <c r="C6" i="14"/>
  <c r="B6" i="14"/>
  <c r="Q71" i="14"/>
  <c r="P71" i="14"/>
  <c r="J71" i="14"/>
  <c r="E71" i="14"/>
  <c r="D71" i="14"/>
  <c r="C71" i="14"/>
  <c r="A71" i="14"/>
  <c r="Q70" i="14"/>
  <c r="P70" i="14"/>
  <c r="J70" i="14"/>
  <c r="E70" i="14"/>
  <c r="D70" i="14"/>
  <c r="C70" i="14"/>
  <c r="A70" i="14"/>
  <c r="Q69" i="14"/>
  <c r="P69" i="14"/>
  <c r="J69" i="14"/>
  <c r="E69" i="14"/>
  <c r="D69" i="14"/>
  <c r="C69" i="14"/>
  <c r="A69" i="14"/>
  <c r="Q68" i="14"/>
  <c r="P68" i="14"/>
  <c r="J68" i="14"/>
  <c r="E68" i="14"/>
  <c r="D68" i="14"/>
  <c r="C68" i="14"/>
  <c r="A68" i="14"/>
  <c r="Q67" i="14"/>
  <c r="P67" i="14"/>
  <c r="J67" i="14"/>
  <c r="E67" i="14"/>
  <c r="D67" i="14"/>
  <c r="C67" i="14"/>
  <c r="A67" i="14"/>
  <c r="Q66" i="14"/>
  <c r="P66" i="14"/>
  <c r="J66" i="14"/>
  <c r="E66" i="14"/>
  <c r="D66" i="14"/>
  <c r="C66" i="14"/>
  <c r="A66" i="14"/>
  <c r="Q65" i="14"/>
  <c r="P65" i="14"/>
  <c r="J65" i="14"/>
  <c r="E65" i="14"/>
  <c r="D65" i="14"/>
  <c r="C65" i="14"/>
  <c r="A65" i="14"/>
  <c r="Q64" i="14"/>
  <c r="P64" i="14"/>
  <c r="J64" i="14"/>
  <c r="E64" i="14"/>
  <c r="D64" i="14"/>
  <c r="C64" i="14"/>
  <c r="A64" i="14"/>
  <c r="Q63" i="14"/>
  <c r="P63" i="14"/>
  <c r="J63" i="14"/>
  <c r="E63" i="14"/>
  <c r="D63" i="14"/>
  <c r="C63" i="14"/>
  <c r="A63" i="14"/>
  <c r="Q62" i="14"/>
  <c r="P62" i="14"/>
  <c r="J62" i="14"/>
  <c r="E62" i="14"/>
  <c r="D62" i="14"/>
  <c r="C62" i="14"/>
  <c r="A62" i="14"/>
  <c r="Q61" i="14"/>
  <c r="P61" i="14"/>
  <c r="J61" i="14"/>
  <c r="E61" i="14"/>
  <c r="D61" i="14"/>
  <c r="C61" i="14"/>
  <c r="A61" i="14"/>
  <c r="Q60" i="14"/>
  <c r="P60" i="14"/>
  <c r="J60" i="14"/>
  <c r="E60" i="14"/>
  <c r="D60" i="14"/>
  <c r="C60" i="14"/>
  <c r="A60" i="14"/>
  <c r="Q59" i="14"/>
  <c r="P59" i="14"/>
  <c r="J59" i="14"/>
  <c r="E59" i="14"/>
  <c r="D59" i="14"/>
  <c r="C59" i="14"/>
  <c r="A59" i="14"/>
  <c r="Q58" i="14"/>
  <c r="P58" i="14"/>
  <c r="J58" i="14"/>
  <c r="E58" i="14"/>
  <c r="D58" i="14"/>
  <c r="C58" i="14"/>
  <c r="A58" i="14"/>
  <c r="Q57" i="14"/>
  <c r="P57" i="14"/>
  <c r="J57" i="14"/>
  <c r="E57" i="14"/>
  <c r="D57" i="14"/>
  <c r="C57" i="14"/>
  <c r="A57" i="14"/>
  <c r="Q56" i="14"/>
  <c r="P56" i="14"/>
  <c r="J56" i="14"/>
  <c r="E56" i="14"/>
  <c r="D56" i="14"/>
  <c r="C56" i="14"/>
  <c r="A56" i="14"/>
  <c r="Q55" i="14"/>
  <c r="P55" i="14"/>
  <c r="J55" i="14"/>
  <c r="E55" i="14"/>
  <c r="D55" i="14"/>
  <c r="C55" i="14"/>
  <c r="A55" i="14"/>
  <c r="Q54" i="14"/>
  <c r="P54" i="14"/>
  <c r="J54" i="14"/>
  <c r="E54" i="14"/>
  <c r="D54" i="14"/>
  <c r="C54" i="14"/>
  <c r="A54" i="14"/>
  <c r="Q53" i="14"/>
  <c r="P53" i="14"/>
  <c r="J53" i="14"/>
  <c r="E53" i="14"/>
  <c r="D53" i="14"/>
  <c r="C53" i="14"/>
  <c r="A53" i="14"/>
  <c r="Q52" i="14"/>
  <c r="P52" i="14"/>
  <c r="J52" i="14"/>
  <c r="E52" i="14"/>
  <c r="D52" i="14"/>
  <c r="C52" i="14"/>
  <c r="A52" i="14"/>
  <c r="Q51" i="14"/>
  <c r="P51" i="14"/>
  <c r="J51" i="14"/>
  <c r="E51" i="14"/>
  <c r="D51" i="14"/>
  <c r="C51" i="14"/>
  <c r="A51" i="14"/>
  <c r="Q50" i="14"/>
  <c r="P50" i="14"/>
  <c r="J50" i="14"/>
  <c r="E50" i="14"/>
  <c r="D50" i="14"/>
  <c r="C50" i="14"/>
  <c r="A50" i="14"/>
  <c r="Q49" i="14"/>
  <c r="P49" i="14"/>
  <c r="J49" i="14"/>
  <c r="E49" i="14"/>
  <c r="D49" i="14"/>
  <c r="C49" i="14"/>
  <c r="A49" i="14"/>
  <c r="Q48" i="14"/>
  <c r="P48" i="14"/>
  <c r="J48" i="14"/>
  <c r="E48" i="14"/>
  <c r="D48" i="14"/>
  <c r="C48" i="14"/>
  <c r="A48" i="14"/>
  <c r="Q47" i="14"/>
  <c r="P47" i="14"/>
  <c r="J47" i="14"/>
  <c r="E47" i="14"/>
  <c r="D47" i="14"/>
  <c r="C47" i="14"/>
  <c r="A47" i="14"/>
  <c r="Q46" i="14"/>
  <c r="P46" i="14"/>
  <c r="J46" i="14"/>
  <c r="E46" i="14"/>
  <c r="D46" i="14"/>
  <c r="C46" i="14"/>
  <c r="A46" i="14"/>
  <c r="Q45" i="14"/>
  <c r="P45" i="14"/>
  <c r="J45" i="14"/>
  <c r="E45" i="14"/>
  <c r="D45" i="14"/>
  <c r="C45" i="14"/>
  <c r="A45" i="14"/>
  <c r="Q44" i="14"/>
  <c r="P44" i="14"/>
  <c r="J44" i="14"/>
  <c r="E44" i="14"/>
  <c r="D44" i="14"/>
  <c r="C44" i="14"/>
  <c r="A44" i="14"/>
  <c r="Q43" i="14"/>
  <c r="P43" i="14"/>
  <c r="J43" i="14"/>
  <c r="E43" i="14"/>
  <c r="D43" i="14"/>
  <c r="C43" i="14"/>
  <c r="A43" i="14"/>
  <c r="Q42" i="14"/>
  <c r="P42" i="14"/>
  <c r="J42" i="14"/>
  <c r="E42" i="14"/>
  <c r="D42" i="14"/>
  <c r="C42" i="14"/>
  <c r="A42" i="14"/>
  <c r="Q41" i="14"/>
  <c r="P41" i="14"/>
  <c r="J41" i="14"/>
  <c r="E41" i="14"/>
  <c r="D41" i="14"/>
  <c r="C41" i="14"/>
  <c r="A41" i="14"/>
  <c r="Q40" i="14"/>
  <c r="P40" i="14"/>
  <c r="J40" i="14"/>
  <c r="E40" i="14"/>
  <c r="D40" i="14"/>
  <c r="C40" i="14"/>
  <c r="A40" i="14"/>
  <c r="Q39" i="14"/>
  <c r="P39" i="14"/>
  <c r="J39" i="14"/>
  <c r="E39" i="14"/>
  <c r="D39" i="14"/>
  <c r="C39" i="14"/>
  <c r="A39" i="14"/>
  <c r="Q38" i="14"/>
  <c r="P38" i="14"/>
  <c r="J38" i="14"/>
  <c r="E38" i="14"/>
  <c r="D38" i="14"/>
  <c r="C38" i="14"/>
  <c r="A38" i="14"/>
  <c r="Q37" i="14"/>
  <c r="P37" i="14"/>
  <c r="J37" i="14"/>
  <c r="E37" i="14"/>
  <c r="D37" i="14"/>
  <c r="C37" i="14"/>
  <c r="A37" i="14"/>
  <c r="Q36" i="14"/>
  <c r="P36" i="14"/>
  <c r="J36" i="14"/>
  <c r="E36" i="14"/>
  <c r="D36" i="14"/>
  <c r="C36" i="14"/>
  <c r="A36" i="14"/>
  <c r="Q35" i="14"/>
  <c r="P35" i="14"/>
  <c r="J35" i="14"/>
  <c r="E35" i="14"/>
  <c r="D35" i="14"/>
  <c r="C35" i="14"/>
  <c r="A35" i="14"/>
  <c r="Q34" i="14"/>
  <c r="P34" i="14"/>
  <c r="J34" i="14"/>
  <c r="E34" i="14"/>
  <c r="D34" i="14"/>
  <c r="C34" i="14"/>
  <c r="A34" i="14"/>
  <c r="Q33" i="14"/>
  <c r="P33" i="14"/>
  <c r="J33" i="14"/>
  <c r="E33" i="14"/>
  <c r="D33" i="14"/>
  <c r="C33" i="14"/>
  <c r="A33" i="14"/>
  <c r="Q32" i="14"/>
  <c r="P32" i="14"/>
  <c r="J32" i="14"/>
  <c r="E32" i="14"/>
  <c r="D32" i="14"/>
  <c r="C32" i="14"/>
  <c r="A32" i="14"/>
  <c r="Q31" i="14"/>
  <c r="P31" i="14"/>
  <c r="J31" i="14"/>
  <c r="E31" i="14"/>
  <c r="D31" i="14"/>
  <c r="C31" i="14"/>
  <c r="A31" i="14"/>
  <c r="Q30" i="14"/>
  <c r="P30" i="14"/>
  <c r="J30" i="14"/>
  <c r="E30" i="14"/>
  <c r="D30" i="14"/>
  <c r="C30" i="14"/>
  <c r="A30" i="14"/>
  <c r="Q29" i="14"/>
  <c r="P29" i="14"/>
  <c r="J29" i="14"/>
  <c r="E29" i="14"/>
  <c r="D29" i="14"/>
  <c r="C29" i="14"/>
  <c r="A29" i="14"/>
  <c r="Q28" i="14"/>
  <c r="P28" i="14"/>
  <c r="J28" i="14"/>
  <c r="E28" i="14"/>
  <c r="D28" i="14"/>
  <c r="C28" i="14"/>
  <c r="A28" i="14"/>
  <c r="Q27" i="14"/>
  <c r="P27" i="14"/>
  <c r="J27" i="14"/>
  <c r="E27" i="14"/>
  <c r="D27" i="14"/>
  <c r="C27" i="14"/>
  <c r="A27" i="14"/>
  <c r="Q26" i="14"/>
  <c r="P26" i="14"/>
  <c r="J26" i="14"/>
  <c r="E26" i="14"/>
  <c r="D26" i="14"/>
  <c r="C26" i="14"/>
  <c r="A26" i="14"/>
  <c r="Q25" i="14"/>
  <c r="P25" i="14"/>
  <c r="J25" i="14"/>
  <c r="E25" i="14"/>
  <c r="D25" i="14"/>
  <c r="C25" i="14"/>
  <c r="A25" i="14"/>
  <c r="Q24" i="14"/>
  <c r="P24" i="14"/>
  <c r="J24" i="14"/>
  <c r="E24" i="14"/>
  <c r="D24" i="14"/>
  <c r="C24" i="14"/>
  <c r="A24" i="14"/>
  <c r="Q23" i="14"/>
  <c r="P23" i="14"/>
  <c r="J23" i="14"/>
  <c r="E23" i="14"/>
  <c r="D23" i="14"/>
  <c r="C23" i="14"/>
  <c r="A23" i="14"/>
  <c r="Q22" i="14"/>
  <c r="P22" i="14"/>
  <c r="J22" i="14"/>
  <c r="E22" i="14"/>
  <c r="D22" i="14"/>
  <c r="C22" i="14"/>
  <c r="A22" i="14"/>
  <c r="Q21" i="14"/>
  <c r="P21" i="14"/>
  <c r="J21" i="14"/>
  <c r="E21" i="14"/>
  <c r="D21" i="14"/>
  <c r="C21" i="14"/>
  <c r="A21" i="14"/>
  <c r="Q20" i="14"/>
  <c r="P20" i="14"/>
  <c r="J20" i="14"/>
  <c r="E20" i="14"/>
  <c r="D20" i="14"/>
  <c r="C20" i="14"/>
  <c r="A20" i="14"/>
  <c r="Q19" i="14"/>
  <c r="P19" i="14"/>
  <c r="J19" i="14"/>
  <c r="E19" i="14"/>
  <c r="D19" i="14"/>
  <c r="C19" i="14"/>
  <c r="A19" i="14"/>
  <c r="Q18" i="14"/>
  <c r="P18" i="14"/>
  <c r="J18" i="14"/>
  <c r="E18" i="14"/>
  <c r="D18" i="14"/>
  <c r="C18" i="14"/>
  <c r="A18" i="14"/>
  <c r="Q17" i="14"/>
  <c r="P17" i="14"/>
  <c r="J17" i="14"/>
  <c r="E17" i="14"/>
  <c r="D17" i="14"/>
  <c r="C17" i="14"/>
  <c r="A17" i="14"/>
  <c r="Q16" i="14"/>
  <c r="P16" i="14"/>
  <c r="J16" i="14"/>
  <c r="E16" i="14"/>
  <c r="D16" i="14"/>
  <c r="C16" i="14"/>
  <c r="A16" i="14"/>
  <c r="Q15" i="14"/>
  <c r="P15" i="14"/>
  <c r="J15" i="14"/>
  <c r="E15" i="14"/>
  <c r="D15" i="14"/>
  <c r="C15" i="14"/>
  <c r="A15" i="14"/>
  <c r="Q14" i="14"/>
  <c r="P14" i="14"/>
  <c r="J14" i="14"/>
  <c r="E14" i="14"/>
  <c r="D14" i="14"/>
  <c r="C14" i="14"/>
  <c r="A14" i="14"/>
  <c r="Q13" i="14"/>
  <c r="P13" i="14"/>
  <c r="J13" i="14"/>
  <c r="E13" i="14"/>
  <c r="D13" i="14"/>
  <c r="C13" i="14"/>
  <c r="A13" i="14"/>
  <c r="E12" i="14"/>
  <c r="D12" i="14"/>
  <c r="C12" i="14"/>
  <c r="F8" i="12" a="1"/>
  <c r="F6" i="12" a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  <c r="J34" i="1"/>
  <c r="P34" i="1"/>
  <c r="Q34" i="1"/>
  <c r="R33" i="1"/>
  <c r="Q33" i="1"/>
  <c r="N33" i="1"/>
  <c r="I33" i="1"/>
  <c r="R32" i="1"/>
  <c r="Q32" i="1"/>
  <c r="N32" i="1"/>
  <c r="I32" i="1"/>
  <c r="R31" i="1"/>
  <c r="Q31" i="1"/>
  <c r="N31" i="1"/>
  <c r="I31" i="1"/>
  <c r="R30" i="1"/>
  <c r="Q30" i="1"/>
  <c r="N30" i="1"/>
  <c r="I30" i="1"/>
  <c r="R29" i="1"/>
  <c r="Q29" i="1"/>
  <c r="N29" i="1"/>
  <c r="I29" i="1"/>
  <c r="R28" i="1"/>
  <c r="Q28" i="1"/>
  <c r="N28" i="1"/>
  <c r="I28" i="1"/>
  <c r="R27" i="1"/>
  <c r="Q27" i="1"/>
  <c r="N27" i="1"/>
  <c r="I27" i="1"/>
  <c r="R26" i="1"/>
  <c r="Q26" i="1"/>
  <c r="N26" i="1"/>
  <c r="I26" i="1"/>
  <c r="R25" i="1"/>
  <c r="Q25" i="1"/>
  <c r="N25" i="1"/>
  <c r="I25" i="1"/>
  <c r="R24" i="1"/>
  <c r="Q24" i="1"/>
  <c r="N24" i="1"/>
  <c r="I24" i="1"/>
  <c r="R23" i="1"/>
  <c r="Q23" i="1"/>
  <c r="N23" i="1"/>
  <c r="I23" i="1"/>
  <c r="R22" i="1"/>
  <c r="Q22" i="1"/>
  <c r="N22" i="1"/>
  <c r="I22" i="1"/>
  <c r="R21" i="1"/>
  <c r="Q21" i="1"/>
  <c r="N21" i="1"/>
  <c r="I21" i="1"/>
  <c r="R20" i="1"/>
  <c r="Q20" i="1"/>
  <c r="N20" i="1"/>
  <c r="I20" i="1"/>
  <c r="R19" i="1"/>
  <c r="Q19" i="1"/>
  <c r="N19" i="1"/>
  <c r="I19" i="1"/>
  <c r="R18" i="1"/>
  <c r="Q18" i="1"/>
  <c r="N18" i="1"/>
  <c r="I18" i="1"/>
  <c r="R17" i="1"/>
  <c r="Q17" i="1"/>
  <c r="N17" i="1"/>
  <c r="I17" i="1"/>
  <c r="R16" i="1"/>
  <c r="Q16" i="1"/>
  <c r="N16" i="1"/>
  <c r="I16" i="1"/>
  <c r="R15" i="1"/>
  <c r="Q15" i="1"/>
  <c r="N15" i="1"/>
  <c r="I15" i="1"/>
  <c r="R14" i="1"/>
  <c r="Q14" i="1"/>
  <c r="N14" i="1"/>
  <c r="I14" i="1"/>
  <c r="R13" i="1"/>
  <c r="Q13" i="1"/>
  <c r="N13" i="1"/>
  <c r="I13" i="1"/>
  <c r="R12" i="1"/>
  <c r="Q12" i="1"/>
  <c r="N12" i="1"/>
  <c r="I12" i="1"/>
  <c r="R11" i="1"/>
  <c r="Q11" i="1"/>
  <c r="N11" i="1"/>
  <c r="I11" i="1"/>
  <c r="R10" i="1"/>
  <c r="Q10" i="1"/>
  <c r="N10" i="1"/>
  <c r="I10" i="1"/>
  <c r="R9" i="1"/>
  <c r="Q9" i="1"/>
  <c r="N9" i="1"/>
  <c r="I9" i="1"/>
  <c r="R8" i="1"/>
  <c r="Q8" i="1"/>
  <c r="N8" i="1"/>
  <c r="I8" i="1"/>
  <c r="R7" i="1"/>
  <c r="Q7" i="1"/>
  <c r="N7" i="1"/>
  <c r="I7" i="1"/>
  <c r="R6" i="1"/>
  <c r="Q6" i="1"/>
  <c r="N6" i="1"/>
  <c r="I6" i="1"/>
  <c r="R5" i="1"/>
  <c r="Q5" i="1"/>
  <c r="N5" i="1"/>
  <c r="I5" i="1"/>
  <c r="R4" i="1"/>
  <c r="Q4" i="1"/>
  <c r="N4" i="1"/>
  <c r="I4" i="1"/>
  <c r="R3" i="1"/>
  <c r="Q3" i="1"/>
  <c r="N3" i="1"/>
  <c r="I3" i="1"/>
  <c r="R2" i="1"/>
  <c r="Q2" i="1"/>
  <c r="N2" i="1"/>
  <c r="I2" i="1"/>
  <c r="H10" i="13"/>
  <c r="G10" i="13"/>
  <c r="E10" i="13"/>
  <c r="D10" i="13"/>
  <c r="H6" i="13"/>
  <c r="H7" i="13"/>
  <c r="H8" i="13"/>
  <c r="H9" i="13"/>
  <c r="H12" i="13"/>
  <c r="G6" i="13"/>
  <c r="G7" i="13"/>
  <c r="G8" i="13"/>
  <c r="G9" i="13"/>
  <c r="G12" i="13"/>
  <c r="F6" i="13"/>
  <c r="F7" i="13"/>
  <c r="F8" i="13"/>
  <c r="F12" i="13"/>
  <c r="E6" i="13"/>
  <c r="E7" i="13"/>
  <c r="E8" i="13"/>
  <c r="E9" i="13"/>
  <c r="E12" i="13"/>
  <c r="D6" i="13"/>
  <c r="D7" i="13"/>
  <c r="D8" i="13"/>
  <c r="D9" i="13"/>
  <c r="D12" i="13"/>
  <c r="E7" i="14" l="1"/>
  <c r="E6" i="14"/>
  <c r="F8" i="14"/>
  <c r="F7" i="14"/>
  <c r="F6" i="14"/>
  <c r="J12" i="14"/>
  <c r="H13" i="13"/>
  <c r="E8" i="14"/>
  <c r="H5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<sst xmlns="http://schemas.openxmlformats.org/spreadsheetml/2006/main" count="3425" uniqueCount="901">
  <si>
    <t>id_registro</t>
  </si>
  <si>
    <t>fecha</t>
  </si>
  <si>
    <t>semana</t>
  </si>
  <si>
    <t>mes</t>
  </si>
  <si>
    <t>mes_num</t>
  </si>
  <si>
    <t>siembra</t>
  </si>
  <si>
    <t>cama</t>
  </si>
  <si>
    <t>variedad</t>
  </si>
  <si>
    <t>tallos_procesados</t>
  </si>
  <si>
    <t>tallos_70</t>
  </si>
  <si>
    <t>tallos_60</t>
  </si>
  <si>
    <t>tallos_55</t>
  </si>
  <si>
    <t>tallos_50</t>
  </si>
  <si>
    <t>aprovechamiento_pct</t>
  </si>
  <si>
    <t>ingreso_total</t>
  </si>
  <si>
    <t>estado_aprovechamiento</t>
  </si>
  <si>
    <t>observaciones</t>
  </si>
  <si>
    <t>2026-03-30</t>
  </si>
  <si>
    <t>GREEN</t>
  </si>
  <si>
    <t>OK</t>
  </si>
  <si>
    <t>Importado de REPORTE POSCOSECHA 1.xlsx</t>
  </si>
  <si>
    <t>2026-04-03</t>
  </si>
  <si>
    <t>Abril</t>
  </si>
  <si>
    <t>PEACH</t>
  </si>
  <si>
    <t>2026-04-06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</si>
  <si>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</si>
  <si>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</si>
  <si>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</si>
  <si>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</si>
  <si>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</si>
  <si>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</si>
  <si>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</si>
  <si>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</si>
  <si>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2026-05-11</t>
  </si>
  <si>
    <t>Junio</t>
  </si>
  <si>
    <t>2 3</t>
  </si>
  <si>
    <t>RED</t>
  </si>
  <si>
    <t>2026-06-03</t>
  </si>
  <si>
    <t>6 7</t>
  </si>
  <si>
    <t>2026-06-08</t>
  </si>
  <si>
    <t>id_pedido</t>
  </si>
  <si>
    <t>fecha_pedido</t>
  </si>
  <si>
    <t>fecha_entrega</t>
  </si>
  <si>
    <t>cliente_carguera</t>
  </si>
  <si>
    <t>tipo_caja</t>
  </si>
  <si>
    <t>cantidad_cajas</t>
  </si>
  <si>
    <t>color_variedad</t>
  </si>
  <si>
    <t>medida_cm</t>
  </si>
  <si>
    <t>follaje</t>
  </si>
  <si>
    <t>bonches</t>
  </si>
  <si>
    <t>tallos</t>
  </si>
  <si>
    <t>transporte</t>
  </si>
  <si>
    <t>entregado</t>
  </si>
  <si>
    <t>factura</t>
  </si>
  <si>
    <t>estado_pedido</t>
  </si>
  <si>
    <t>2025-11-24</t>
  </si>
  <si>
    <t>K N</t>
  </si>
  <si>
    <t>HB</t>
  </si>
  <si>
    <t>Spring Peach</t>
  </si>
  <si>
    <t>No</t>
  </si>
  <si>
    <t>Si</t>
  </si>
  <si>
    <t>X</t>
  </si>
  <si>
    <t>ENTREGADO</t>
  </si>
  <si>
    <t>Illusion</t>
  </si>
  <si>
    <t>New Red</t>
  </si>
  <si>
    <t>x</t>
  </si>
  <si>
    <t>2025-11-25</t>
  </si>
  <si>
    <t>2025-11-27</t>
  </si>
  <si>
    <t>Tallos que tienen 2 brotes laterales, cada bounche viene 25 tallos</t>
  </si>
  <si>
    <t>NOVIEMBRE</t>
  </si>
  <si>
    <t>ABIERTO</t>
  </si>
  <si>
    <t>2025-12-01</t>
  </si>
  <si>
    <t>SI</t>
  </si>
  <si>
    <t>NOTA DE CREDITO</t>
  </si>
  <si>
    <t>QB</t>
  </si>
  <si>
    <t>2025-12-03</t>
  </si>
  <si>
    <t>2025-12-04</t>
  </si>
  <si>
    <t>MEGAFLOR</t>
  </si>
  <si>
    <t>-</t>
  </si>
  <si>
    <t>NO</t>
  </si>
  <si>
    <t>El precio se acordo a 0,18 cent</t>
  </si>
  <si>
    <t>2025-12-08</t>
  </si>
  <si>
    <t>2025-12-09</t>
  </si>
  <si>
    <t>El precio se acordo a 0,12 cent</t>
  </si>
  <si>
    <t>2025-12-10</t>
  </si>
  <si>
    <t>2025-12-11</t>
  </si>
  <si>
    <t>2025-12-12</t>
  </si>
  <si>
    <t>2025-12-15</t>
  </si>
  <si>
    <t>2025-12-17</t>
  </si>
  <si>
    <t>2025-12-18</t>
  </si>
  <si>
    <t>2025-12-19</t>
  </si>
  <si>
    <t>New Red - Spring</t>
  </si>
  <si>
    <t>2025-12-26</t>
  </si>
  <si>
    <t>DICIEMBRE</t>
  </si>
  <si>
    <t>2026-01-09</t>
  </si>
  <si>
    <t>2026-01-15</t>
  </si>
  <si>
    <t>2026-01-16</t>
  </si>
  <si>
    <t>2026-01-19</t>
  </si>
  <si>
    <t>2026-01-20</t>
  </si>
  <si>
    <t>2026-01-23</t>
  </si>
  <si>
    <t>2026-01-26</t>
  </si>
  <si>
    <t>2026-01-27</t>
  </si>
  <si>
    <t>2026-01-28</t>
  </si>
  <si>
    <t>ENERO</t>
  </si>
  <si>
    <t>2026-02-02</t>
  </si>
  <si>
    <t>Green XL</t>
  </si>
  <si>
    <t>2026-02-05</t>
  </si>
  <si>
    <t>2026-02-09</t>
  </si>
  <si>
    <t>2026-02-12</t>
  </si>
  <si>
    <t>2026-02-14</t>
  </si>
  <si>
    <t>2026-02-17</t>
  </si>
  <si>
    <t>2026-02-19</t>
  </si>
  <si>
    <t>FEBRERO</t>
  </si>
  <si>
    <t>2026-03-02</t>
  </si>
  <si>
    <t>NOTA  DE CREDITO DE 70,40</t>
  </si>
  <si>
    <t>2026-03-27</t>
  </si>
  <si>
    <t>MARZO</t>
  </si>
  <si>
    <t>2026-04-01</t>
  </si>
  <si>
    <t>2026-04-10</t>
  </si>
  <si>
    <t>2026-04-13</t>
  </si>
  <si>
    <t>EB</t>
  </si>
  <si>
    <t>NOTA  DE CREDITO DE 144,80</t>
  </si>
  <si>
    <t>NOTA  DE CREDITO DE 45,20</t>
  </si>
  <si>
    <t>2026-04-29</t>
  </si>
  <si>
    <t>ABRIL</t>
  </si>
  <si>
    <t>2026-05-15</t>
  </si>
  <si>
    <t>2026-05-26</t>
  </si>
  <si>
    <t>MAYO</t>
  </si>
  <si>
    <t>2026-06-02</t>
  </si>
  <si>
    <t>2026-06-15</t>
  </si>
  <si>
    <t>cliente</t>
  </si>
  <si>
    <t>ruc_cedula</t>
  </si>
  <si>
    <t>fecha_emision</t>
  </si>
  <si>
    <t>fecha_vencimiento</t>
  </si>
  <si>
    <t>valor_factura</t>
  </si>
  <si>
    <t>estado</t>
  </si>
  <si>
    <t>nota_credito</t>
  </si>
  <si>
    <t>saldo</t>
  </si>
  <si>
    <t>dias_vencido</t>
  </si>
  <si>
    <t>LA CASTELLANA</t>
  </si>
  <si>
    <t>2025-11-30</t>
  </si>
  <si>
    <t>PAGADO</t>
  </si>
  <si>
    <t>PENDIENTE</t>
  </si>
  <si>
    <t>2026-12-17</t>
  </si>
  <si>
    <t>2026-12-19</t>
  </si>
  <si>
    <t>2026-12-18</t>
  </si>
  <si>
    <t>2026-12-26</t>
  </si>
  <si>
    <t>Pagado el 13-02 con transferncia 102489185</t>
  </si>
  <si>
    <t>2026-01-12</t>
  </si>
  <si>
    <t>FLORES LA CASTELLANA</t>
  </si>
  <si>
    <t>Pagado el 27-02 con transferencia</t>
  </si>
  <si>
    <t>2026-01-21</t>
  </si>
  <si>
    <t>2026-01-24</t>
  </si>
  <si>
    <t>Abona 3000 el 26-03. Abona 1000 el 02-04</t>
  </si>
  <si>
    <t>28 - 01</t>
  </si>
  <si>
    <t>2026-02-10</t>
  </si>
  <si>
    <t>2026-02-13</t>
  </si>
  <si>
    <t>2026-02-23</t>
  </si>
  <si>
    <t>2026-03-31</t>
  </si>
  <si>
    <t>POR COBRAR</t>
  </si>
  <si>
    <t>2026-04-14</t>
  </si>
  <si>
    <t>2026-05-24</t>
  </si>
  <si>
    <t>2026-05-05</t>
  </si>
  <si>
    <t>fecha_inicio</t>
  </si>
  <si>
    <t>fecha_fin</t>
  </si>
  <si>
    <t>variedades</t>
  </si>
  <si>
    <t>tallos_brutos</t>
  </si>
  <si>
    <t>descarte_estimado</t>
  </si>
  <si>
    <t>tallos_vendibles</t>
  </si>
  <si>
    <t>01-jun al 07-jun</t>
  </si>
  <si>
    <t>S1</t>
  </si>
  <si>
    <t>New Red + Spring Peach</t>
  </si>
  <si>
    <t>08-jun al 14-jun</t>
  </si>
  <si>
    <t>15-jun al 21-jun</t>
  </si>
  <si>
    <t>S2</t>
  </si>
  <si>
    <t>22-jun al 28-jun</t>
  </si>
  <si>
    <t>29-jun al 05-jul</t>
  </si>
  <si>
    <t>Junio/Julio</t>
  </si>
  <si>
    <t>S3</t>
  </si>
  <si>
    <t>06-jul al 12-jul</t>
  </si>
  <si>
    <t>Julio</t>
  </si>
  <si>
    <t>13-jul al 19-jul</t>
  </si>
  <si>
    <t>S5</t>
  </si>
  <si>
    <t>20-jul al 26-jul</t>
  </si>
  <si>
    <t>27-jul al 02-ago</t>
  </si>
  <si>
    <t>Julio/Agosto</t>
  </si>
  <si>
    <t>S4</t>
  </si>
  <si>
    <t>Green XL + Spring Peach</t>
  </si>
  <si>
    <t>03-ago al 09-ago</t>
  </si>
  <si>
    <t>Agosto</t>
  </si>
  <si>
    <t>10-ago al 16-ago</t>
  </si>
  <si>
    <t>S6</t>
  </si>
  <si>
    <t>Green XL + Spring</t>
  </si>
  <si>
    <t>17-ago al 23-ago</t>
  </si>
  <si>
    <t>24-ago al 30-ago</t>
  </si>
  <si>
    <t>S7</t>
  </si>
  <si>
    <t>31-ago al 06-sep</t>
  </si>
  <si>
    <t>Agosto/Septiembre</t>
  </si>
  <si>
    <t>07-sep al 13-sep</t>
  </si>
  <si>
    <t>Septiembre</t>
  </si>
  <si>
    <t>S8</t>
  </si>
  <si>
    <t>14-sep al 20-sep</t>
  </si>
  <si>
    <t>21-sep al 27-sep</t>
  </si>
  <si>
    <t>S9</t>
  </si>
  <si>
    <t>28-sep al 04-oct</t>
  </si>
  <si>
    <t>Septiembre/Octubre</t>
  </si>
  <si>
    <t>05-oct al 11-oct</t>
  </si>
  <si>
    <t>Octubre</t>
  </si>
  <si>
    <t>S10</t>
  </si>
  <si>
    <t>12-oct al 18-oct</t>
  </si>
  <si>
    <t>19-oct al 25-oct</t>
  </si>
  <si>
    <t>S11</t>
  </si>
  <si>
    <t>26-oct al 01-nov</t>
  </si>
  <si>
    <t>Octubre/Noviembre</t>
  </si>
  <si>
    <t>02-nov al 08- nov</t>
  </si>
  <si>
    <t>Noviembre</t>
  </si>
  <si>
    <t>S12</t>
  </si>
  <si>
    <t>09-nov al 15- nov</t>
  </si>
  <si>
    <t>16-nov al 22- nov</t>
  </si>
  <si>
    <t>S13</t>
  </si>
  <si>
    <t>23-nov al 29- nov</t>
  </si>
  <si>
    <t>30-nov al 06-dic</t>
  </si>
  <si>
    <t>Noviembre/Diciembre</t>
  </si>
  <si>
    <t>S14</t>
  </si>
  <si>
    <t>07-dic al 13-dic</t>
  </si>
  <si>
    <t>Diciembre</t>
  </si>
  <si>
    <t>14-dic al 20-dic</t>
  </si>
  <si>
    <t>Sin cosecha</t>
  </si>
  <si>
    <t>21-dic al 27-dic</t>
  </si>
  <si>
    <t>fecha_corte</t>
  </si>
  <si>
    <t>tallos_producidos</t>
  </si>
  <si>
    <t>tallos_pedidos</t>
  </si>
  <si>
    <t>saldo_tallos</t>
  </si>
  <si>
    <t>bonches_disponibles</t>
  </si>
  <si>
    <t>estado_stock</t>
  </si>
  <si>
    <t>origen</t>
  </si>
  <si>
    <t>50 CM</t>
  </si>
  <si>
    <t>FALTANTE</t>
  </si>
  <si>
    <t>Postcosecha - Pedidos</t>
  </si>
  <si>
    <t>Inventario calculado por variedad y medida</t>
  </si>
  <si>
    <t>55 CM</t>
  </si>
  <si>
    <t>DISPONIBLE</t>
  </si>
  <si>
    <t>60 CM</t>
  </si>
  <si>
    <t>70 CM</t>
  </si>
  <si>
    <t>NACIONAL</t>
  </si>
  <si>
    <t>SIN VARIEDAD</t>
  </si>
  <si>
    <t>forma_pago</t>
  </si>
  <si>
    <t>valor</t>
  </si>
  <si>
    <t>estado_pago</t>
  </si>
  <si>
    <t>2026-06-16</t>
  </si>
  <si>
    <t>Carla Medrano</t>
  </si>
  <si>
    <t>verde</t>
  </si>
  <si>
    <t>transferencia Pao</t>
  </si>
  <si>
    <t>Mary Molina</t>
  </si>
  <si>
    <t>efectivo pao</t>
  </si>
  <si>
    <t>transferi</t>
  </si>
  <si>
    <t>Doris Real</t>
  </si>
  <si>
    <t>peach</t>
  </si>
  <si>
    <t>Pily Larrea</t>
  </si>
  <si>
    <t>mixto</t>
  </si>
  <si>
    <t>Carolina Flores</t>
  </si>
  <si>
    <t>Maria Paucar</t>
  </si>
  <si>
    <t>Ariana Manzano</t>
  </si>
  <si>
    <t>Florevento</t>
  </si>
  <si>
    <t>Xime Buenaño</t>
  </si>
  <si>
    <t>efectivo fabian</t>
  </si>
  <si>
    <t>Pame Marquez</t>
  </si>
  <si>
    <t>efectivo</t>
  </si>
  <si>
    <t>Pao</t>
  </si>
  <si>
    <t>fotos</t>
  </si>
  <si>
    <t>Ana Paula Palacios</t>
  </si>
  <si>
    <t>Eri vargas</t>
  </si>
  <si>
    <t>aun no se entrega</t>
  </si>
  <si>
    <t>Vero Cartagena</t>
  </si>
  <si>
    <t>Carla Calvopiña</t>
  </si>
  <si>
    <t>Majo Mera</t>
  </si>
  <si>
    <t>Monica Poveda</t>
  </si>
  <si>
    <t>Elena Lopez</t>
  </si>
  <si>
    <t>Alexandra Solano</t>
  </si>
  <si>
    <t>Andres Almeida</t>
  </si>
  <si>
    <t>peah</t>
  </si>
  <si>
    <t>numero_tallos</t>
  </si>
  <si>
    <t>numero_bonches</t>
  </si>
  <si>
    <t>Green XL - Spring</t>
  </si>
  <si>
    <t>Mercado Sur</t>
  </si>
  <si>
    <t>numero</t>
  </si>
  <si>
    <t>motivo</t>
  </si>
  <si>
    <t>CALIDAD</t>
  </si>
  <si>
    <t>2026-03-06</t>
  </si>
  <si>
    <t>clientes_cargueras</t>
  </si>
  <si>
    <t>tipos_caja</t>
  </si>
  <si>
    <t>medidas_cm</t>
  </si>
  <si>
    <t>estados_pago</t>
  </si>
  <si>
    <t>estados_pedido</t>
  </si>
  <si>
    <t>persona</t>
  </si>
  <si>
    <t>tamano_cm</t>
  </si>
  <si>
    <t>bunches_procesados</t>
  </si>
  <si>
    <t>tallos_estimados</t>
  </si>
  <si>
    <t>Cristina</t>
  </si>
  <si>
    <t>GESTOR DE BASE DE DATOS — Ventas &amp; Postcosecha</t>
  </si>
  <si>
    <t>Proceso</t>
  </si>
  <si>
    <t>Hoja actual</t>
  </si>
  <si>
    <t>Tabla creada</t>
  </si>
  <si>
    <t>Tipo de dato</t>
  </si>
  <si>
    <t>Propósito</t>
  </si>
  <si>
    <t>Cómo se alimenta</t>
  </si>
  <si>
    <t>Frecuencia</t>
  </si>
  <si>
    <t>Observación clave</t>
  </si>
  <si>
    <t>Postcosecha</t>
  </si>
  <si>
    <t>DATOS_WEB</t>
  </si>
  <si>
    <t>tbl_postcosecha</t>
  </si>
  <si>
    <t>Transaccional</t>
  </si>
  <si>
    <t>Carga desde reporte/registro diario</t>
  </si>
  <si>
    <t>Diario</t>
  </si>
  <si>
    <t>Ventas / pedidos</t>
  </si>
  <si>
    <t>PEDIDOS</t>
  </si>
  <si>
    <t>tbl_pedidos</t>
  </si>
  <si>
    <t>Pedidos por cliente, caja, variedad, medida y estado</t>
  </si>
  <si>
    <t>Digitación o formulario de pedidos</t>
  </si>
  <si>
    <t>Debe usar id_pedido único por línea de pedido</t>
  </si>
  <si>
    <t>Cartera</t>
  </si>
  <si>
    <t>ESTADO_CUENTA</t>
  </si>
  <si>
    <t>tbl_estado_cuenta</t>
  </si>
  <si>
    <t>Transaccional/financiero</t>
  </si>
  <si>
    <t>Facturas, saldos, vencimientos y estado de cobro</t>
  </si>
  <si>
    <t>Registro de factura/cobro</t>
  </si>
  <si>
    <t>Semanal</t>
  </si>
  <si>
    <t>Separar facturas reales de encabezados de mes</t>
  </si>
  <si>
    <t>Proyección cosecha</t>
  </si>
  <si>
    <t>PROYECCION_COSECHA</t>
  </si>
  <si>
    <t>tbl_proyeccion_cosecha</t>
  </si>
  <si>
    <t>Planeación</t>
  </si>
  <si>
    <t>Disponibilidad esperada por semana/siembra/variedad</t>
  </si>
  <si>
    <t>Plan de cosecha</t>
  </si>
  <si>
    <t>Usar fechas inicio/fin como fechas reales cuando sea posible</t>
  </si>
  <si>
    <t>Inventario</t>
  </si>
  <si>
    <t>INVENTARIO</t>
  </si>
  <si>
    <t>tbl_inventario</t>
  </si>
  <si>
    <t>Salida calculada</t>
  </si>
  <si>
    <t>Disponibilidad o faltante por variedad y medida</t>
  </si>
  <si>
    <t>Cálculo desde postcosecha y pedidos</t>
  </si>
  <si>
    <t>Diario/Semanal</t>
  </si>
  <si>
    <t>Recomendado agregar id_inventario o clave compuesta</t>
  </si>
  <si>
    <t>tbl_ventas_nacionales</t>
  </si>
  <si>
    <t>tbl_descartes</t>
  </si>
  <si>
    <t>Notas crédito</t>
  </si>
  <si>
    <t>NOTAS_CREDITO</t>
  </si>
  <si>
    <t>tbl_notas_credito</t>
  </si>
  <si>
    <t>Ajuste comercial</t>
  </si>
  <si>
    <t>Notas de crédito por factura y motivo</t>
  </si>
  <si>
    <t>Registro contable/comercial</t>
  </si>
  <si>
    <t>Cuando ocurra</t>
  </si>
  <si>
    <t>Vincular siempre con factura original</t>
  </si>
  <si>
    <t>Catálogos</t>
  </si>
  <si>
    <t>tbl_catalogos</t>
  </si>
  <si>
    <t>Procesamiento personal</t>
  </si>
  <si>
    <t>tbl_procesamiento_personal</t>
  </si>
  <si>
    <t>Productividad</t>
  </si>
  <si>
    <t>Trabajo por persona, variedad, tamaño y bunches</t>
  </si>
  <si>
    <t>Entidad principal</t>
  </si>
  <si>
    <t>Clave primaria recomendada</t>
  </si>
  <si>
    <t>Se relaciona con</t>
  </si>
  <si>
    <t>Clave/criterio de unión</t>
  </si>
  <si>
    <t>KPI o control principal</t>
  </si>
  <si>
    <t>Pedido</t>
  </si>
  <si>
    <t>Inventario / Factura</t>
  </si>
  <si>
    <t>variedad + medida_cm + fecha_entrega / factura</t>
  </si>
  <si>
    <t>Tallos pedidos, entregados, pendientes</t>
  </si>
  <si>
    <t>Inventario / Proyección</t>
  </si>
  <si>
    <t>fecha + variedad + medida_cm</t>
  </si>
  <si>
    <t>Aprovechamiento %, descarte %, tallos vendibles</t>
  </si>
  <si>
    <t>Factura</t>
  </si>
  <si>
    <t>Pedido / Nota crédito</t>
  </si>
  <si>
    <t>Saldo, vencimiento, pago pendiente</t>
  </si>
  <si>
    <t>Nota crédito</t>
  </si>
  <si>
    <t>Valor ajustado por calidad u otro motivo</t>
  </si>
  <si>
    <t>id_inventario o clave compuesta</t>
  </si>
  <si>
    <t>Postcosecha + Pedido</t>
  </si>
  <si>
    <t>fecha_corte + variedad + medida_cm</t>
  </si>
  <si>
    <t>Disponible / faltante</t>
  </si>
  <si>
    <t>Personal proceso</t>
  </si>
  <si>
    <t>id_proceso_personal</t>
  </si>
  <si>
    <t>fecha + variedad + tamaño</t>
  </si>
  <si>
    <t>Bunches y tallos por persona</t>
  </si>
  <si>
    <t>Catálogo</t>
  </si>
  <si>
    <t>campo catálogo</t>
  </si>
  <si>
    <t>Todas las capturas</t>
  </si>
  <si>
    <t>valor validado</t>
  </si>
  <si>
    <t>Evita nombres duplicados o mal escritos</t>
  </si>
  <si>
    <t>Recomendación</t>
  </si>
  <si>
    <t>Cuándo usarla</t>
  </si>
  <si>
    <t>Ventaja</t>
  </si>
  <si>
    <t>Riesgo</t>
  </si>
  <si>
    <t>Nivel sugerido</t>
  </si>
  <si>
    <t>Decisión</t>
  </si>
  <si>
    <t>Google Sheets</t>
  </si>
  <si>
    <t>Etapa inicial y carga diaria por pocas personas</t>
  </si>
  <si>
    <t>Rápido, familiar, colaborativo</t>
  </si>
  <si>
    <t>Puede volverse lento o frágil si crece mucho</t>
  </si>
  <si>
    <t>Base actual</t>
  </si>
  <si>
    <t>Recomendado ahora</t>
  </si>
  <si>
    <t>Google Forms + Sheets</t>
  </si>
  <si>
    <t>Captura desde celular o personal no técnico</t>
  </si>
  <si>
    <t>Reduce errores de digitación</t>
  </si>
  <si>
    <t>Menos flexible para editar registros históricos</t>
  </si>
  <si>
    <t>Complemento</t>
  </si>
  <si>
    <t>Usar para ventas/personal</t>
  </si>
  <si>
    <t>AppSheet sobre Sheets</t>
  </si>
  <si>
    <t>Necesitas una app simple con formularios, estados y permisos</t>
  </si>
  <si>
    <t>Flujo tipo app sin programar</t>
  </si>
  <si>
    <t>Requiere configuración y gobernanza</t>
  </si>
  <si>
    <t>Siguiente paso</t>
  </si>
  <si>
    <t>Recomendado si varios usuarios cargan datos</t>
  </si>
  <si>
    <t>Airtable</t>
  </si>
  <si>
    <t>Base operativa visual con relaciones y formularios</t>
  </si>
  <si>
    <t>Más parecido a base de datos que Sheets</t>
  </si>
  <si>
    <t>Límites/planes según volumen</t>
  </si>
  <si>
    <t>Alternativa</t>
  </si>
  <si>
    <t>Útil si prefieres interfaz visual</t>
  </si>
  <si>
    <t>Supabase / PostgreSQL</t>
  </si>
  <si>
    <t>Cuando haya muchas filas, usuarios o dashboards externos</t>
  </si>
  <si>
    <t>Escalable, relacional, API</t>
  </si>
  <si>
    <t>Requiere soporte técnico</t>
  </si>
  <si>
    <t>Escala futura</t>
  </si>
  <si>
    <t>Usar si Sheets queda corto</t>
  </si>
  <si>
    <t>Regla operativa</t>
  </si>
  <si>
    <t>Aplicación práctica</t>
  </si>
  <si>
    <t>Prioridad</t>
  </si>
  <si>
    <t>Responsable sugerido</t>
  </si>
  <si>
    <t>Herramienta</t>
  </si>
  <si>
    <t>Estado</t>
  </si>
  <si>
    <t>Una fila = un evento real</t>
  </si>
  <si>
    <t>No mezclar totales, encabezados de mes o comentarios dentro de tablas transaccionales</t>
  </si>
  <si>
    <t>Alta</t>
  </si>
  <si>
    <t>Gestor BD</t>
  </si>
  <si>
    <t>Sheets/Excel</t>
  </si>
  <si>
    <t>Implementar</t>
  </si>
  <si>
    <t>ID único obligatorio</t>
  </si>
  <si>
    <t>Cada pedido, postcosecha, factura, nota y registro personal debe tener clave única</t>
  </si>
  <si>
    <t>Formula/AppScript/Form</t>
  </si>
  <si>
    <t>Catálogos controlados</t>
  </si>
  <si>
    <t>Clientes, variedades, estados y medidas deben venir de CATALOGOS</t>
  </si>
  <si>
    <t>Administrador</t>
  </si>
  <si>
    <t>Validación datos</t>
  </si>
  <si>
    <t>Fechas como fecha real</t>
  </si>
  <si>
    <t>Evitar textos como rangos cuando se requiera análisis por día/semana</t>
  </si>
  <si>
    <t>Media</t>
  </si>
  <si>
    <t>Usuario captura</t>
  </si>
  <si>
    <t>Formulario</t>
  </si>
  <si>
    <t>Mejorar</t>
  </si>
  <si>
    <t>Hoja cruda separada de reportes</t>
  </si>
  <si>
    <t>No editar manualmente salidas calculadas como inventario si se genera desde datos base</t>
  </si>
  <si>
    <t>Protección parcial</t>
  </si>
  <si>
    <t>CONTROL_BD</t>
  </si>
  <si>
    <t>Activo</t>
  </si>
  <si>
    <t>Estructura sugerida para Google Sheets</t>
  </si>
  <si>
    <t>Descripción</t>
  </si>
  <si>
    <t>Quién alimenta</t>
  </si>
  <si>
    <t>Validación requerida</t>
  </si>
  <si>
    <t>Uso principal</t>
  </si>
  <si>
    <t>01_Postcosecha</t>
  </si>
  <si>
    <t>Registro diario limpio de producción/proceso</t>
  </si>
  <si>
    <t>Variedad, medida, siembra, fecha</t>
  </si>
  <si>
    <t>Productividad e inventario</t>
  </si>
  <si>
    <t>02_Pedidos</t>
  </si>
  <si>
    <t>Pedidos por línea de producto/cliente</t>
  </si>
  <si>
    <t>Ventas</t>
  </si>
  <si>
    <t>Cliente, tipo caja, medida, estado</t>
  </si>
  <si>
    <t>Plan de despacho y demanda</t>
  </si>
  <si>
    <t>03_Cartera</t>
  </si>
  <si>
    <t>Facturas, pagos, saldos y notas crédito</t>
  </si>
  <si>
    <t>Ventas/Cobranza</t>
  </si>
  <si>
    <t>Estado pago, factura única</t>
  </si>
  <si>
    <t>Cobranza y vencidos</t>
  </si>
  <si>
    <t>04_Inventario</t>
  </si>
  <si>
    <t>Salida calculada por variedad/medida</t>
  </si>
  <si>
    <t>Sistema / gestor</t>
  </si>
  <si>
    <t>No captura manual salvo ajustes</t>
  </si>
  <si>
    <t>Disponible vs faltante</t>
  </si>
  <si>
    <t>05_Catalogos</t>
  </si>
  <si>
    <t>Listas maestras</t>
  </si>
  <si>
    <t>Sin duplicados</t>
  </si>
  <si>
    <t>Validaciones</t>
  </si>
  <si>
    <t>06_Dashboard</t>
  </si>
  <si>
    <t>Vista gerencial</t>
  </si>
  <si>
    <t>Automático</t>
  </si>
  <si>
    <t>No captura manual</t>
  </si>
  <si>
    <t>Decisiones diarias</t>
  </si>
  <si>
    <t>DICCIONARIO DE DATOS — Base Ventas &amp; Postcosecha</t>
  </si>
  <si>
    <t>Define campos, tipos, obligatoriedad y reglas para migrar a Google Sheets sin perder consistencia.</t>
  </si>
  <si>
    <t>Tabla</t>
  </si>
  <si>
    <t>Campo</t>
  </si>
  <si>
    <t>Tipo sugerido</t>
  </si>
  <si>
    <t>Obligatorio</t>
  </si>
  <si>
    <t>Validación / catálogo</t>
  </si>
  <si>
    <t>Ejemplo</t>
  </si>
  <si>
    <t>Uso KPI</t>
  </si>
  <si>
    <t>Número entero</t>
  </si>
  <si>
    <t>Sí</t>
  </si>
  <si>
    <t>Clave única del registro de proceso</t>
  </si>
  <si>
    <t>Único, no vacío</t>
  </si>
  <si>
    <t>Trazabilidad</t>
  </si>
  <si>
    <t>Fecha</t>
  </si>
  <si>
    <t>Fecha del proceso</t>
  </si>
  <si>
    <t>Fecha real</t>
  </si>
  <si>
    <t>Tendencias diarias/semanales</t>
  </si>
  <si>
    <t>Número</t>
  </si>
  <si>
    <t>Análisis semanal</t>
  </si>
  <si>
    <t>Texto</t>
  </si>
  <si>
    <t>Catálogo meses</t>
  </si>
  <si>
    <t>Resumen mensual</t>
  </si>
  <si>
    <t>Ordenamiento</t>
  </si>
  <si>
    <t>Texto/Número</t>
  </si>
  <si>
    <t>Siembra asociada</t>
  </si>
  <si>
    <t>CATALOGOS[siembras]</t>
  </si>
  <si>
    <t>S1 / 14</t>
  </si>
  <si>
    <t>Trazabilidad cultivo</t>
  </si>
  <si>
    <t>Cama/lote de origen</t>
  </si>
  <si>
    <t>Catálogo futuro</t>
  </si>
  <si>
    <t>Variedad/color procesado</t>
  </si>
  <si>
    <t>CATALOGOS[variedades]</t>
  </si>
  <si>
    <t>Producción por variedad</t>
  </si>
  <si>
    <t>&gt;=0</t>
  </si>
  <si>
    <t>Tallos calibre 70 cm</t>
  </si>
  <si>
    <t>Mix por medida</t>
  </si>
  <si>
    <t>Tallos calibre 60 cm</t>
  </si>
  <si>
    <t>Tallos calibre 55 cm</t>
  </si>
  <si>
    <t>Tallos calibre 50 cm</t>
  </si>
  <si>
    <t>Descarte</t>
  </si>
  <si>
    <t>Porcentaje</t>
  </si>
  <si>
    <t>Auto</t>
  </si>
  <si>
    <t>Fórmula</t>
  </si>
  <si>
    <t>Calidad</t>
  </si>
  <si>
    <t>Moneda/Número</t>
  </si>
  <si>
    <t>Ingreso asociado si aplica</t>
  </si>
  <si>
    <t>Ingreso por proceso</t>
  </si>
  <si>
    <t>OK / Revisar</t>
  </si>
  <si>
    <t>Control</t>
  </si>
  <si>
    <t>Comentario o fuente</t>
  </si>
  <si>
    <t>Libre</t>
  </si>
  <si>
    <t>Importado...</t>
  </si>
  <si>
    <t>Auditoría</t>
  </si>
  <si>
    <t>Clave única del pedido/línea</t>
  </si>
  <si>
    <t>Trazabilidad pedido</t>
  </si>
  <si>
    <t>Fecha de creación del pedido</t>
  </si>
  <si>
    <t>Demanda diaria</t>
  </si>
  <si>
    <t>Fecha de entrega o despacho</t>
  </si>
  <si>
    <t>Planificación</t>
  </si>
  <si>
    <t>Cliente o carguera</t>
  </si>
  <si>
    <t>CATALOGOS[clientes_cargueras]</t>
  </si>
  <si>
    <t>Ventas por cliente</t>
  </si>
  <si>
    <t>Tipo de caja</t>
  </si>
  <si>
    <t>CATALOGOS[tipos_caja]</t>
  </si>
  <si>
    <t>Empaque</t>
  </si>
  <si>
    <t>Cantidad de cajas pedidas</t>
  </si>
  <si>
    <t>&gt;0</t>
  </si>
  <si>
    <t>Volumen pedido</t>
  </si>
  <si>
    <t>Variedad/color solicitado</t>
  </si>
  <si>
    <t>Demanda por variedad</t>
  </si>
  <si>
    <t>Medida del tallo</t>
  </si>
  <si>
    <t>CATALOGOS[medidas_cm]</t>
  </si>
  <si>
    <t>Demanda por medida</t>
  </si>
  <si>
    <t>Incluye follaje</t>
  </si>
  <si>
    <t>Sí/No</t>
  </si>
  <si>
    <t>Especificación</t>
  </si>
  <si>
    <t>Bonches por línea</t>
  </si>
  <si>
    <t>Producción necesaria</t>
  </si>
  <si>
    <t>Tallos totales del pedido</t>
  </si>
  <si>
    <t>Demanda tallos</t>
  </si>
  <si>
    <t>Requiere transporte</t>
  </si>
  <si>
    <t>Logística</t>
  </si>
  <si>
    <t>Marca de entrega</t>
  </si>
  <si>
    <t>Sí/No/X</t>
  </si>
  <si>
    <t>Cumplimiento</t>
  </si>
  <si>
    <t>Factura asociada</t>
  </si>
  <si>
    <t>Debe existir en cartera</t>
  </si>
  <si>
    <t>Cobranza</t>
  </si>
  <si>
    <t>Estado operativo</t>
  </si>
  <si>
    <t>CATALOGOS[estados_pedido]</t>
  </si>
  <si>
    <t>Pipeline pedidos</t>
  </si>
  <si>
    <t>Notas especiales del pedido</t>
  </si>
  <si>
    <t>Tallos con brotes</t>
  </si>
  <si>
    <t>Número de factura</t>
  </si>
  <si>
    <t>Único por factura real</t>
  </si>
  <si>
    <t>Cliente facturado</t>
  </si>
  <si>
    <t>Cartera por cliente</t>
  </si>
  <si>
    <t>Identificación tributaria</t>
  </si>
  <si>
    <t>Texto para conservar ceros</t>
  </si>
  <si>
    <t>Datos cliente</t>
  </si>
  <si>
    <t>Fecha de emisión</t>
  </si>
  <si>
    <t>Aging</t>
  </si>
  <si>
    <t>Fecha esperada de pago</t>
  </si>
  <si>
    <t>Vencidos</t>
  </si>
  <si>
    <t>Moneda</t>
  </si>
  <si>
    <t>Valor bruto de factura</t>
  </si>
  <si>
    <t>Ventas facturadas</t>
  </si>
  <si>
    <t>Estado de pago</t>
  </si>
  <si>
    <t>CATALOGOS[estados_pago]</t>
  </si>
  <si>
    <t>Valor de notas crédito aplicadas</t>
  </si>
  <si>
    <t>Ajustes</t>
  </si>
  <si>
    <t>Saldo pendiente</t>
  </si>
  <si>
    <t>Días vencidos contra fecha actual</t>
  </si>
  <si>
    <t>Riesgo cartera</t>
  </si>
  <si>
    <t>Notas de cobro</t>
  </si>
  <si>
    <t>Seguimiento</t>
  </si>
  <si>
    <t>Semana de proyección</t>
  </si>
  <si>
    <t>Plan semanal</t>
  </si>
  <si>
    <t>Fecha/Texto</t>
  </si>
  <si>
    <t>Inicio de semana</t>
  </si>
  <si>
    <t>Preferir fecha real</t>
  </si>
  <si>
    <t>Fin de semana</t>
  </si>
  <si>
    <t>Mes de proyección</t>
  </si>
  <si>
    <t>Siembra proyectada</t>
  </si>
  <si>
    <t>Plan cultivo</t>
  </si>
  <si>
    <t>Variedades esperadas</t>
  </si>
  <si>
    <t>Oferta</t>
  </si>
  <si>
    <t>Tallos esperados antes de descarte</t>
  </si>
  <si>
    <t>Oferta bruta</t>
  </si>
  <si>
    <t>Tallos estimados como descarte</t>
  </si>
  <si>
    <t>Calidad esperada</t>
  </si>
  <si>
    <t>Auto/Sí</t>
  </si>
  <si>
    <t>Tallos disponibles estimados</t>
  </si>
  <si>
    <t>brutos - descarte</t>
  </si>
  <si>
    <t>Oferta vendible</t>
  </si>
  <si>
    <t>Fecha de corte del inventario</t>
  </si>
  <si>
    <t>Foto inventario</t>
  </si>
  <si>
    <t>Variedad/color</t>
  </si>
  <si>
    <t>Stock por variedad</t>
  </si>
  <si>
    <t>Stock por medida</t>
  </si>
  <si>
    <t>Tallos disponibles desde postcosecha</t>
  </si>
  <si>
    <t>Tallos demandados por pedidos</t>
  </si>
  <si>
    <t>Demanda</t>
  </si>
  <si>
    <t>Producidos - pedidos</t>
  </si>
  <si>
    <t>Disponible/faltante</t>
  </si>
  <si>
    <t>Saldo convertido a bonches</t>
  </si>
  <si>
    <t>Disponible</t>
  </si>
  <si>
    <t>Estado de stock</t>
  </si>
  <si>
    <t>DISPONIBLE/FALTANTE</t>
  </si>
  <si>
    <t>Alerta</t>
  </si>
  <si>
    <t>Fecha de venta nacional</t>
  </si>
  <si>
    <t>Venta local</t>
  </si>
  <si>
    <t>Cliente local</t>
  </si>
  <si>
    <t>Bonches vendidos</t>
  </si>
  <si>
    <t>Volumen local</t>
  </si>
  <si>
    <t>Tallos vendidos</t>
  </si>
  <si>
    <t>Variedad/color vendido</t>
  </si>
  <si>
    <t>Mix local</t>
  </si>
  <si>
    <t>Medio de pago</t>
  </si>
  <si>
    <t>transferencia</t>
  </si>
  <si>
    <t>Caja local</t>
  </si>
  <si>
    <t>Valor cobrado</t>
  </si>
  <si>
    <t>Ingreso local</t>
  </si>
  <si>
    <t>Estado del pago</t>
  </si>
  <si>
    <t>Cobranza local</t>
  </si>
  <si>
    <t>Fecha de descarte</t>
  </si>
  <si>
    <t>Número de tallos descartados/vendidos como descarte</t>
  </si>
  <si>
    <t>Bonches equivalentes</t>
  </si>
  <si>
    <t>Variedad del descarte</t>
  </si>
  <si>
    <t>Cliente destino del descarte</t>
  </si>
  <si>
    <t>Venta descarte</t>
  </si>
  <si>
    <t>Valor generado por descarte</t>
  </si>
  <si>
    <t>Ingreso descarte</t>
  </si>
  <si>
    <t>Número de nota de crédito</t>
  </si>
  <si>
    <t>Único</t>
  </si>
  <si>
    <t>Cliente de la nota</t>
  </si>
  <si>
    <t>Ajuste por cliente</t>
  </si>
  <si>
    <t>Valor de la nota</t>
  </si>
  <si>
    <t>Impacto cartera</t>
  </si>
  <si>
    <t>Factura afectada</t>
  </si>
  <si>
    <t>DICIEMBRE / 30</t>
  </si>
  <si>
    <t>Relación cartera</t>
  </si>
  <si>
    <t>Motivo de la nota</t>
  </si>
  <si>
    <t>Causas de ajuste</t>
  </si>
  <si>
    <t>Fecha del trabajo</t>
  </si>
  <si>
    <t>Operario/persona</t>
  </si>
  <si>
    <t>Productividad persona</t>
  </si>
  <si>
    <t>Variedad procesada</t>
  </si>
  <si>
    <t>Productividad variedad</t>
  </si>
  <si>
    <t>Tamaño procesado</t>
  </si>
  <si>
    <t>Productividad medida</t>
  </si>
  <si>
    <t>Bunches trabajados</t>
  </si>
  <si>
    <t>Volumen persona</t>
  </si>
  <si>
    <t>Tallos estimados</t>
  </si>
  <si>
    <t>Fórmula o captura</t>
  </si>
  <si>
    <t>Lista oficial de variedades</t>
  </si>
  <si>
    <t>Validación</t>
  </si>
  <si>
    <t>Lista oficial de clientes/cargueras</t>
  </si>
  <si>
    <t>Lista oficial de tipos de caja</t>
  </si>
  <si>
    <t>Lista oficial de medidas</t>
  </si>
  <si>
    <t>Estados de pago permitidos</t>
  </si>
  <si>
    <t>Estados de pedido permitidos</t>
  </si>
  <si>
    <t>CONTROL DE CALIDAD — Base de Datos Operativa</t>
  </si>
  <si>
    <t>Usa esta hoja antes de subir o compartir la base. Estado OK significa que no hay claves vacías, duplicados detectados o campos críticos vacíos en los controles definidos.</t>
  </si>
  <si>
    <t>Clave principal</t>
  </si>
  <si>
    <t>Total filas</t>
  </si>
  <si>
    <t>Claves vacías</t>
  </si>
  <si>
    <t>Duplicados clave</t>
  </si>
  <si>
    <t>Campos críticos vacíos</t>
  </si>
  <si>
    <t>Acción sugerida</t>
  </si>
  <si>
    <t>Pedidos</t>
  </si>
  <si>
    <t>Revisar cliente, variedad, medida, tallos y estado</t>
  </si>
  <si>
    <t>Quitar filas de encabezado mensual dentro de la tabla</t>
  </si>
  <si>
    <t>Convertir rangos de fecha a fechas reales si se analizará por día</t>
  </si>
  <si>
    <t>fecha_corte+variedad+medida_cm</t>
  </si>
  <si>
    <t>Agregar id_inventario si se captura manualmente</t>
  </si>
  <si>
    <t>Verificar factura relacionada</t>
  </si>
  <si>
    <t>listas maestras</t>
  </si>
  <si>
    <t>Semáforo</t>
  </si>
  <si>
    <t>Sin problemas detectados</t>
  </si>
  <si>
    <t>REVISAR</t>
  </si>
  <si>
    <t>Requiere limpieza antes de migrar</t>
  </si>
  <si>
    <t>tipo_venta</t>
  </si>
  <si>
    <t>Migrado desde DESCARTES. Confirmar forma_pago y estado_pago.</t>
  </si>
  <si>
    <t>DESCARTE</t>
  </si>
  <si>
    <t>Migrado desde DESCARTES. Confirmar cliente, forma_pago y estado_pago.</t>
  </si>
  <si>
    <t>Venta nacional / descarte</t>
  </si>
  <si>
    <t>Ventas locales y descartes en una sola base</t>
  </si>
  <si>
    <t>Formulario único con tipo_venta</t>
  </si>
  <si>
    <t>Usar tipo_venta = NACIONAL o DESCARTE</t>
  </si>
  <si>
    <t>No alimentar por separado</t>
  </si>
  <si>
    <t>No aplica</t>
  </si>
  <si>
    <t>id_venta_nacional o clave compuesta</t>
  </si>
  <si>
    <t>fecha + cliente + variedad + tipo_venta</t>
  </si>
  <si>
    <t>Valor local, tallos y estado de pago</t>
  </si>
  <si>
    <t>fecha+cliente+color_variedad+tipo_venta</t>
  </si>
  <si>
    <t>Confirmar cliente, forma_pago y estado_pago de registros migrados desde DESCARTES</t>
  </si>
  <si>
    <t>Clasifica si el registro corresponde a venta nacional o descarte</t>
  </si>
  <si>
    <t>NACIONAL / DESCARTE</t>
  </si>
  <si>
    <t>Segmentación ventas locales</t>
  </si>
  <si>
    <t>uso_actual</t>
  </si>
  <si>
    <t>Usar NACIONAL con tipo_venta DESCARTE</t>
  </si>
  <si>
    <t>Gobierno de datos</t>
  </si>
  <si>
    <t>Descartes eliminado</t>
  </si>
  <si>
    <t>Eliminado</t>
  </si>
  <si>
    <t>Integrado en tbl_ventas_nacionales</t>
  </si>
  <si>
    <t>Histórico migrado</t>
  </si>
  <si>
    <t>Registros ya migrados a NACIONAL</t>
  </si>
  <si>
    <t>No alimentar</t>
  </si>
  <si>
    <t>Hoja DESCARTES eliminada; usar NACIONAL con tipo_venta DESCARTE</t>
  </si>
  <si>
    <t>Integrado en NACIONAL</t>
  </si>
  <si>
    <t>sin hoja separada</t>
  </si>
  <si>
    <t>ELIMINADO</t>
  </si>
  <si>
    <t>Datos migrados a NACIONAL; capturar nuevos descartes como tipo_venta DESCARTE</t>
  </si>
  <si>
    <t>Hoja eliminada; datos integrados en NACIONAL</t>
  </si>
  <si>
    <t>nacional_basura_pct</t>
  </si>
  <si>
    <t>estado_nacional_basura</t>
  </si>
  <si>
    <t>Eficiencia exportable</t>
  </si>
  <si>
    <t>Calidad / salida no exportable</t>
  </si>
  <si>
    <t>Semáforo de aprovechamiento exportable</t>
  </si>
  <si>
    <t>Semáforo de nacional/basura</t>
  </si>
  <si>
    <t>No disponible</t>
  </si>
  <si>
    <t>SIN HOJA</t>
  </si>
  <si>
    <t>Hoja no disponible; usar validaciones/catálogos al reconstruir en Google Sheets</t>
  </si>
  <si>
    <t>Crear solo si se va a medir personal</t>
  </si>
  <si>
    <t>Hoja no visible en este libro actual</t>
  </si>
  <si>
    <t>tallos_cosechados</t>
  </si>
  <si>
    <t>Registro diario de tallos cosechados/procesados, calibres exportables y nacional/basura unificados</t>
  </si>
  <si>
    <t>Base para productividad, cosecha, aprovechamiento exportable y nacional/basura</t>
  </si>
  <si>
    <t>Total tallos cosechados calculado como tallos por tamaño más nacional/basura</t>
  </si>
  <si>
    <t>Volumen cosecha calculado</t>
  </si>
  <si>
    <t>tallos_70 + tallos_60 + tallos_55 + tallos_50 + nacional_basura</t>
  </si>
  <si>
    <t>Revisar fecha, variedad, tallos cosechados y tallos procesados cuando aplique</t>
  </si>
  <si>
    <t>Total tallos procesados calculado solo con las medidas exportables</t>
  </si>
  <si>
    <t>tallos_70 + tallos_60 + tallos_55 + tallos_50</t>
  </si>
  <si>
    <t>Volumen proceso exportable</t>
  </si>
  <si>
    <t>nacional</t>
  </si>
  <si>
    <t>basura</t>
  </si>
  <si>
    <t>Tallos de descarte para venta nacional</t>
  </si>
  <si>
    <t>Descarte nacional</t>
  </si>
  <si>
    <t>Tallos descartados como basura</t>
  </si>
  <si>
    <t>Descarte basura</t>
  </si>
  <si>
    <t>Tallos exportables / tallos cosechados</t>
  </si>
  <si>
    <t>(Nacional + basura) / tallos cosechados</t>
  </si>
  <si>
    <t>Semana ISO calculada automáticamente desde fecha</t>
  </si>
  <si>
    <t>Mes calculado automáticamente desde fecha</t>
  </si>
  <si>
    <t>Nombre de mes según fecha</t>
  </si>
  <si>
    <t>Número de mes calculado automáticamente desde fecha</t>
  </si>
  <si>
    <t>CONTROL DE RENDIMIENTO DE PROCESADORAS</t>
  </si>
  <si>
    <t>Captura sugerida: 3 sesiones por semana por procesadora. Los campos calculados se llenan automáticamente desde fecha, tiempo y tallos.</t>
  </si>
  <si>
    <t>Resumen semanal</t>
  </si>
  <si>
    <t>Procesadora</t>
  </si>
  <si>
    <t>Sesiones</t>
  </si>
  <si>
    <t>Tallos procesados</t>
  </si>
  <si>
    <t>Minutos totales</t>
  </si>
  <si>
    <t>Tallos / hora</t>
  </si>
  <si>
    <t>Última fecha</t>
  </si>
  <si>
    <t>Margarita</t>
  </si>
  <si>
    <t>Angélica</t>
  </si>
  <si>
    <t>Campos recomendados</t>
  </si>
  <si>
    <t>Semana</t>
  </si>
  <si>
    <t>Mes</t>
  </si>
  <si>
    <t>Variedad</t>
  </si>
  <si>
    <t>Tiempo en minutos</t>
  </si>
  <si>
    <t>Bunches procesados</t>
  </si>
  <si>
    <t>Tallos/hora</t>
  </si>
  <si>
    <t>Bunches/hora</t>
  </si>
  <si>
    <t>Siembra / cama</t>
  </si>
  <si>
    <t>Hora inicio / fin</t>
  </si>
  <si>
    <t>Observaciones</t>
  </si>
  <si>
    <t>Día de proceso</t>
  </si>
  <si>
    <t>Automático desde fecha</t>
  </si>
  <si>
    <t>Margarita, Angélica o Cristina</t>
  </si>
  <si>
    <t>GREEN, PEACH, RED u otra</t>
  </si>
  <si>
    <t>Duración real de la sesión</t>
  </si>
  <si>
    <t>Suma de tallos por medidas</t>
  </si>
  <si>
    <t>Bunches armados en la sesión</t>
  </si>
  <si>
    <t>Productividad principal</t>
  </si>
  <si>
    <t>Productividad secundaria</t>
  </si>
  <si>
    <t>Trazabilidad del bloque</t>
  </si>
  <si>
    <t>Permite auditar duración</t>
  </si>
  <si>
    <t>Incidencias o notas</t>
  </si>
  <si>
    <t>procesadora</t>
  </si>
  <si>
    <t>sesion_semana</t>
  </si>
  <si>
    <t>hora_inicio</t>
  </si>
  <si>
    <t>hora_fin</t>
  </si>
  <si>
    <t>tiempo_minutos</t>
  </si>
  <si>
    <t>tallos_por_hora</t>
  </si>
  <si>
    <t>bunches_por_hora</t>
  </si>
  <si>
    <t>estado_registro</t>
  </si>
  <si>
    <t>RENDIMIENTO_PROCESADORAS</t>
  </si>
  <si>
    <t>tbl_rendimiento_procesadoras</t>
  </si>
  <si>
    <t>Transaccional/operativo</t>
  </si>
  <si>
    <t>Registro de rendimiento por procesadora: tiempo, tallos, bunches y productividad</t>
  </si>
  <si>
    <t>Captura manual por sesión de proceso</t>
  </si>
  <si>
    <t>3 veces por semana</t>
  </si>
  <si>
    <t>Procesadoras principales: Margarita, Angélica y Cristina</t>
  </si>
  <si>
    <t>Fecha de sesión de procesamiento</t>
  </si>
  <si>
    <t>Validación fecha</t>
  </si>
  <si>
    <t>Rendimiento semanal</t>
  </si>
  <si>
    <t>Nombre de procesadora</t>
  </si>
  <si>
    <t>Margarita, Angélica, Cristina</t>
  </si>
  <si>
    <t>Productividad personal</t>
  </si>
  <si>
    <t>GREEN, PEACH, RED, OTRA</t>
  </si>
  <si>
    <t>Mix por variedad</t>
  </si>
  <si>
    <t>Tiempo real usado en la sesión, en minutos</t>
  </si>
  <si>
    <t>Tallos procesados por medidas exportables</t>
  </si>
  <si>
    <t>Tallos procesados por hora</t>
  </si>
  <si>
    <t>tallos_procesados / (tiempo_minutos / 60)</t>
  </si>
  <si>
    <t>KPI principal</t>
  </si>
  <si>
    <t>Rendimiento procesadoras</t>
  </si>
  <si>
    <t>Completar fecha, procesadora, variedad, tiempo y tallos por sesión</t>
  </si>
  <si>
    <t>GUÍA PARA SUBIR ESTE LIBRO A GOOGLE SHEETS</t>
  </si>
  <si>
    <t>Última preparación</t>
  </si>
  <si>
    <t>Owner</t>
  </si>
  <si>
    <t>Alvaro Carrera</t>
  </si>
  <si>
    <t>1. Descargar desde Excel</t>
  </si>
  <si>
    <t>Archivo &gt; Guardar como / Descargar una copia en formato .xlsx</t>
  </si>
  <si>
    <t>2. Subir a Google Drive</t>
  </si>
  <si>
    <t>En Google Drive: Nuevo &gt; Subir archivo &gt; seleccionar el .xlsx</t>
  </si>
  <si>
    <t>3. Abrir como Google Sheets</t>
  </si>
  <si>
    <t>Click derecho sobre el archivo &gt; Abrir con &gt; Hojas de cálculo de Google</t>
  </si>
  <si>
    <t>4. Guardar conversión</t>
  </si>
  <si>
    <t>Archivo &gt; Guardar como Hojas de cálculo de Google si Drive no lo convierte automáticamente</t>
  </si>
  <si>
    <t>5. Revisar después de subir</t>
  </si>
  <si>
    <t>Confirmar filtros, fórmulas y listas desplegables en las hojas principales</t>
  </si>
  <si>
    <t>Hojas principales para usar</t>
  </si>
  <si>
    <t>Uso</t>
  </si>
  <si>
    <t>Tabla / rango principal</t>
  </si>
  <si>
    <t>Notas</t>
  </si>
  <si>
    <t>Postcosecha diaria</t>
  </si>
  <si>
    <t>Listo</t>
  </si>
  <si>
    <t>Fecha, semana, mes y mes_num quedan automáticos</t>
  </si>
  <si>
    <t>Pedidos comerciales</t>
  </si>
  <si>
    <t>Revisar campos incompletos según CONTROL_BD</t>
  </si>
  <si>
    <t>Plan semanal de cosecha</t>
  </si>
  <si>
    <t>Base de planeación</t>
  </si>
  <si>
    <t>Disponible vs pedido</t>
  </si>
  <si>
    <t>Rendimiento por persona</t>
  </si>
  <si>
    <t>Capturar Margarita, Angélica y Cristina 3 veces por semana</t>
  </si>
  <si>
    <t>Validaciones de calidad</t>
  </si>
  <si>
    <t>tbl_control_bd</t>
  </si>
  <si>
    <t>Revisar antes de subir data nueva</t>
  </si>
  <si>
    <t>Semáforo de errores</t>
  </si>
  <si>
    <t>DICCIONARIO_BD</t>
  </si>
  <si>
    <t>Diccionario de campos</t>
  </si>
  <si>
    <t>tbl_diccionario_bd</t>
  </si>
  <si>
    <t>Referencia para formularios o Google Sheets</t>
  </si>
  <si>
    <t>Revisión rápida en Google Sheets</t>
  </si>
  <si>
    <t>Qué confirmar</t>
  </si>
  <si>
    <t>Resultado esperado</t>
  </si>
  <si>
    <t>Filtros</t>
  </si>
  <si>
    <t>Cada tabla debe mantener filtros en encabezados</t>
  </si>
  <si>
    <t>Filtros activos</t>
  </si>
  <si>
    <t>Fechas</t>
  </si>
  <si>
    <t>Columnas fecha deben mostrarse como yyyy-mm-dd</t>
  </si>
  <si>
    <t>Formato fecha correcto</t>
  </si>
  <si>
    <t>Listas de procesadora/variedad y validación fecha</t>
  </si>
  <si>
    <t>Desplegables activos</t>
  </si>
  <si>
    <t>Fórmulas</t>
  </si>
  <si>
    <t>Semana, mes, mes_num, productividad y porcentajes</t>
  </si>
  <si>
    <t>Valores se actualizan al capturar</t>
  </si>
  <si>
    <t>Revisar CONTROL_BD</t>
  </si>
  <si>
    <t>OK o acciones claras por resolver</t>
  </si>
  <si>
    <t>Notas importantes</t>
  </si>
  <si>
    <t>- No borrar encabezados de tablas; Google Sheets usa esos nombres para filtros y fórmulas.</t>
  </si>
  <si>
    <t>- Si Google no conserva algún desplegable, recrearlo desde Datos &gt; Validación de datos usando el diccionario.</t>
  </si>
  <si>
    <t>- Las filas vacías preparadas son normales; sirven para capturar nuevos registros sin reconstruir fórmulas.</t>
  </si>
  <si>
    <t>Owner: Alvaro Carrera | Última actualización: 2026-06-20 | Objetivo: ordenar captura, control y consulta operativa antes de subir a Google Sheets.</t>
  </si>
  <si>
    <t>Preparado para Google Sheets</t>
  </si>
  <si>
    <t>Libro revisado, guía creada y hoja vacía convertida en instrucciones de subida</t>
  </si>
  <si>
    <t>GUIA_GOOGLE_SHEETS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</si>
</sst>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hh:mm"/>
  </numFmts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sz val="10"/>
      <color rgb="FF1E3A8A"/>
      <name val="Calibri"/>
      <scheme val="minor"/>
    </font>
    <font>
      <b/>
      <sz val="11"/>
      <color rgb="FFFFFFFF"/>
      <name val="Calibri"/>
      <family val="2"/>
      <scheme val="minor"/>
    </font>
    <font>
      <sz val="10"/>
      <color rgb="FF7F1D1D"/>
      <name val="Calibri"/>
      <scheme val="minor"/>
    </font>
    <font>
      <sz val="11"/>
      <color rgb="FF7F1D1D"/>
      <name val="Calibri"/>
      <family val="2"/>
      <scheme val="minor"/>
    </font>
    <font>
      <b/>
      <sz val="10"/>
      <color theme="1"/>
      <name val="Calibri"/>
      <scheme val="minor"/>
    </font>
    <font>
      <b/>
      <sz val="10"/>
      <color rgb="FF1E3A8A"/>
      <name val="Calibri"/>
      <scheme val="minor"/>
    </font>
    <font>
      <sz val="11"/>
      <color rgb="FF000000"/>
      <name val="Calibri"/>
      <scheme val="minor"/>
    </font>
    <font>
      <b/>
      <sz val="10"/>
      <color rgb="FF7F1D1D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D4D36"/>
      </patternFill>
    </fill>
    <fill>
      <patternFill patternType="solid">
        <fgColor rgb="FF1D4ED8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C3D73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B183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2" fillId="0" borderId="1" xfId="0" applyFont="1" applyBorder="1"/>
    <xf numFmtId="0" fontId="2" fillId="0" borderId="7" xfId="0" applyFont="1" applyBorder="1"/>
    <xf numFmtId="0" fontId="2" fillId="0" borderId="4" xfId="0" applyFont="1" applyBorder="1"/>
    <xf numFmtId="0" fontId="3" fillId="6" borderId="4" xfId="0" applyFont="1" applyFill="1" applyBorder="1"/>
    <xf numFmtId="0" fontId="3" fillId="7" borderId="0" xfId="0" applyFont="1" applyFill="1"/>
    <xf numFmtId="0" fontId="5" fillId="7" borderId="0" xfId="0" applyFont="1" applyFill="1"/>
    <xf numFmtId="0" fontId="2" fillId="8" borderId="0" xfId="0" applyFont="1" applyFill="1"/>
    <xf numFmtId="0" fontId="0" fillId="8" borderId="0" xfId="0" applyFill="1"/>
    <xf numFmtId="14" fontId="2" fillId="0" borderId="4" xfId="0" applyNumberFormat="1" applyFont="1" applyBorder="1"/>
    <xf numFmtId="17" fontId="2" fillId="0" borderId="4" xfId="0" applyNumberFormat="1" applyFont="1" applyBorder="1"/>
    <xf numFmtId="16" fontId="2" fillId="0" borderId="4" xfId="0" applyNumberFormat="1" applyFont="1" applyBorder="1"/>
    <xf numFmtId="10" fontId="2" fillId="0" borderId="4" xfId="0" applyNumberFormat="1" applyFont="1" applyBorder="1"/>
    <xf numFmtId="0" fontId="3" fillId="9" borderId="0" xfId="0" applyFont="1" applyFill="1"/>
    <xf numFmtId="0" fontId="5" fillId="9" borderId="0" xfId="0" applyFont="1" applyFill="1"/>
    <xf numFmtId="0" fontId="0" fillId="10" borderId="0" xfId="0" applyFill="1"/>
    <xf numFmtId="0" fontId="6" fillId="10" borderId="0" xfId="0" applyFont="1" applyFill="1"/>
    <xf numFmtId="0" fontId="7" fillId="10" borderId="0" xfId="0" applyFont="1" applyFill="1"/>
    <xf numFmtId="0" fontId="8" fillId="0" borderId="4" xfId="0" applyFont="1" applyBorder="1"/>
    <xf numFmtId="0" fontId="0" fillId="11" borderId="0" xfId="0" applyFill="1"/>
    <xf numFmtId="0" fontId="0" fillId="12" borderId="0" xfId="0" applyFill="1"/>
    <xf numFmtId="1" fontId="2" fillId="0" borderId="4" xfId="0" applyNumberFormat="1" applyFont="1" applyBorder="1"/>
    <xf numFmtId="0" fontId="3" fillId="5" borderId="6" xfId="0" applyFont="1" applyFill="1" applyBorder="1"/>
    <xf numFmtId="0" fontId="3" fillId="5" borderId="8" xfId="0" applyFont="1" applyFill="1" applyBorder="1"/>
    <xf numFmtId="0" fontId="3" fillId="5" borderId="3" xfId="0" applyFont="1" applyFill="1" applyBorder="1"/>
    <xf numFmtId="0" fontId="2" fillId="0" borderId="5" xfId="0" applyFont="1" applyBorder="1"/>
    <xf numFmtId="0" fontId="2" fillId="0" borderId="9" xfId="0" applyFont="1" applyBorder="1"/>
    <xf numFmtId="0" fontId="2" fillId="0" borderId="2" xfId="0" applyFont="1" applyBorder="1"/>
    <xf numFmtId="0" fontId="3" fillId="6" borderId="6" xfId="0" applyFont="1" applyFill="1" applyBorder="1"/>
    <xf numFmtId="0" fontId="3" fillId="6" borderId="8" xfId="0" applyFont="1" applyFill="1" applyBorder="1"/>
    <xf numFmtId="0" fontId="3" fillId="6" borderId="3" xfId="0" applyFont="1" applyFill="1" applyBorder="1"/>
    <xf numFmtId="1" fontId="2" fillId="0" borderId="9" xfId="0" applyNumberFormat="1" applyFont="1" applyBorder="1"/>
    <xf numFmtId="0" fontId="1" fillId="3" borderId="0" xfId="0" applyFont="1" applyFill="1" applyAlignment="1">
      <alignment horizontal="center"/>
    </xf>
    <xf numFmtId="0" fontId="9" fillId="4" borderId="4" xfId="0" applyFont="1" applyFill="1" applyBorder="1"/>
    <xf numFmtId="0" fontId="11" fillId="10" borderId="4" xfId="0" applyFont="1" applyFill="1" applyBorder="1"/>
    <xf numFmtId="0" fontId="11" fillId="10" borderId="9" xfId="0" applyFont="1" applyFill="1" applyBorder="1"/>
    <xf numFmtId="164" fontId="10" fillId="13" borderId="0" xfId="0" applyNumberFormat="1" applyFont="1" applyFill="1" applyAlignment="1">
      <alignment horizontal="right"/>
    </xf>
    <xf numFmtId="0" fontId="10" fillId="13" borderId="0" xfId="0" applyFont="1" applyFill="1" applyAlignment="1">
      <alignment horizontal="right"/>
    </xf>
    <xf numFmtId="3" fontId="10" fillId="13" borderId="0" xfId="0" applyNumberFormat="1" applyFont="1" applyFill="1" applyAlignment="1">
      <alignment horizontal="right"/>
    </xf>
    <xf numFmtId="165" fontId="0" fillId="0" borderId="0" xfId="0" applyNumberFormat="1"/>
    <xf numFmtId="165" fontId="10" fillId="13" borderId="0" xfId="0" applyNumberFormat="1" applyFont="1" applyFill="1" applyAlignment="1">
      <alignment horizontal="right"/>
    </xf>
    <xf numFmtId="1" fontId="10" fillId="13" borderId="0" xfId="0" applyNumberFormat="1" applyFont="1" applyFill="1" applyAlignment="1">
      <alignment horizontal="right"/>
    </xf>
    <xf numFmtId="0" fontId="10" fillId="13" borderId="0" xfId="0" applyFont="1" applyFill="1" applyAlignment="1">
      <alignment horizontal="left"/>
    </xf>
    <xf numFmtId="0" fontId="5" fillId="16" borderId="0" xfId="0" applyFont="1" applyFill="1"/>
    <xf numFmtId="0" fontId="12" fillId="17" borderId="0" xfId="0" applyFont="1" applyFill="1"/>
    <xf numFmtId="166" fontId="0" fillId="0" borderId="0" xfId="0" applyNumberFormat="1"/>
    <xf numFmtId="1" fontId="0" fillId="0" borderId="0" xfId="0" applyNumberFormat="1"/>
    <xf numFmtId="3" fontId="0" fillId="0" borderId="0" xfId="0" applyNumberFormat="1"/>
    <xf numFmtId="14" fontId="2" fillId="0" borderId="9" xfId="0" applyNumberFormat="1" applyFont="1" applyBorder="1"/>
    <xf numFmtId="0" fontId="16" fillId="0" borderId="0" xfId="0" applyFont="1" applyAlignment="1">
      <alignment wrapText="1"/>
    </xf>
    <xf numFmtId="0" fontId="16" fillId="19" borderId="0" xfId="0" applyFont="1" applyFill="1" applyAlignment="1">
      <alignment wrapText="1"/>
    </xf>
    <xf numFmtId="14" fontId="16" fillId="19" borderId="0" xfId="0" applyNumberFormat="1" applyFont="1" applyFill="1" applyAlignment="1">
      <alignment wrapText="1"/>
    </xf>
    <xf numFmtId="0" fontId="17" fillId="0" borderId="0" xfId="0" applyFont="1" applyAlignment="1">
      <alignment wrapText="1"/>
    </xf>
    <xf numFmtId="0" fontId="18" fillId="20" borderId="0" xfId="0" applyFont="1" applyFill="1" applyAlignment="1">
      <alignment wrapText="1"/>
    </xf>
    <xf numFmtId="0" fontId="18" fillId="21" borderId="0" xfId="0" applyFont="1" applyFill="1" applyAlignment="1">
      <alignment wrapText="1"/>
    </xf>
    <xf numFmtId="0" fontId="17" fillId="22" borderId="0" xfId="0" applyFont="1" applyFill="1" applyAlignment="1">
      <alignment wrapText="1"/>
    </xf>
    <xf numFmtId="0" fontId="18" fillId="18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4" fillId="14" borderId="0" xfId="0" applyFont="1" applyFill="1"/>
    <xf numFmtId="0" fontId="13" fillId="14" borderId="0" xfId="0" applyFont="1" applyFill="1"/>
    <xf numFmtId="0" fontId="0" fillId="0" borderId="0" xfId="0"/>
    <xf numFmtId="0" fontId="15" fillId="15" borderId="0" xfId="0" applyFont="1" applyFill="1"/>
    <xf numFmtId="0" fontId="0" fillId="15" borderId="0" xfId="0" applyFill="1"/>
  </cellXfs>
  <cellStyles count="1">
    <cellStyle name="Normal" xfId="0" builtinId="0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F172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F172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33415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F172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hh:mm"/>
    </dxf>
    <dxf>
      <numFmt numFmtId="166" formatCode="hh:mm"/>
    </dxf>
    <dxf>
      <numFmt numFmtId="1" formatCode="0"/>
    </dxf>
    <dxf>
      <numFmt numFmtId="1" formatCode="0"/>
    </dxf>
    <dxf>
      <numFmt numFmtId="1" formatCode="0"/>
    </dxf>
    <dxf>
      <numFmt numFmtId="165" formatCode="yyyy\-mm\-dd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numFmt numFmtId="165" formatCode="yyyy\-mm\-dd"/>
      <fill>
        <patternFill patternType="solid">
          <fgColor indexed="64"/>
          <bgColor rgb="FFFFFFFF"/>
        </patternFill>
      </fill>
      <alignment horizontal="righ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58700-BDE9-44C2-BA5E-B941F16CB37C}" name="tbl_postcosecha" displayName="tbl_postcosecha" ref="A1:V251" totalsRowShown="0">
  <autoFilter ref="A1:V251" xr:uid="{00000000-0009-0000-0000-000000000000}"/>
  <tableColumns count="22">
    <tableColumn id="1" xr3:uid="{FB7B38F0-9253-4B90-8B9C-A95D4FE64E34}" name="id_registro"/>
    <tableColumn id="2" xr3:uid="{40358598-7187-4673-A882-B7F788123085}" name="fecha" dataDxfId="81"/>
    <tableColumn id="3" xr3:uid="{6770B261-B7CB-49FB-B541-324A2D04681D}" name="semana" dataDxfId="80">
      <calculatedColumnFormula>IF($B2="","",_xlfn.ISOWEEKNUM($B2))</calculatedColumnFormula>
    </tableColumn>
    <tableColumn id="4" xr3:uid="{F8CB5D1C-76F3-448A-9FD6-8BDFE7F9873E}" name="mes" dataDxfId="79">
      <calculatedColumnFormula>IF($B2="","",CHOOSE(MONTH($B2),"Enero","Febrero","Marzo","Abril","Mayo","Junio","Julio","Agosto","Septiembre","Octubre","Noviembre","Diciembre"))</calculatedColumnFormula>
    </tableColumn>
    <tableColumn id="5" xr3:uid="{47AC419F-5AC6-4F46-95E3-0D6F5DA76D0C}" name="mes_num" dataDxfId="78">
      <calculatedColumnFormula>IF($B2="","",MONTH($B2))</calculatedColumnFormula>
    </tableColumn>
    <tableColumn id="6" xr3:uid="{7D84B49A-03BB-4514-A3C0-9E4F8E49FF02}" name="siembra"/>
    <tableColumn id="7" xr3:uid="{33109E30-2C51-4571-A7A2-8953203A4252}" name="cama"/>
    <tableColumn id="8" xr3:uid="{9B81A295-59C9-4DAF-8DAF-B8364A0A7FF6}" name="variedad"/>
    <tableColumn id="9" xr3:uid="{2E53A420-E153-4CB9-8810-246D7AAE8EDF}" name="tallos_cosechados" dataDxfId="77"/>
    <tableColumn id="15" xr3:uid="{5E00EB5D-CB62-44C5-92D4-BB9DA0550D0D}" name="tallos_70" dataDxfId="76">
      <calculatedColumnFormula>SUM(K2:O2)</calculatedColumnFormula>
    </tableColumn>
    <tableColumn id="10" xr3:uid="{8E07D7C9-FB1C-4EA9-B4BF-E7D885D45437}" name="tallos_60" dataDxfId="75"/>
    <tableColumn id="11" xr3:uid="{E7AC7307-171A-469B-BDE2-7D7C7882D56B}" name="tallos_55" dataDxfId="74"/>
    <tableColumn id="12" xr3:uid="{A2B503E6-3D27-45F3-8BB4-785D5949D905}" name="tallos_50" dataDxfId="73"/>
    <tableColumn id="13" xr3:uid="{0E478B5D-1DC2-4A17-B3D7-87C66D830038}" name="tallos_procesados" dataDxfId="72"/>
    <tableColumn id="14" xr3:uid="{9B5A1A7A-84A1-4275-A0E1-77F644A84148}" name="nacional" dataDxfId="71"/>
    <tableColumn id="16" xr3:uid="{D475B852-FF43-4E79-9CCC-2AF9891E88AC}" name="basura" dataDxfId="70">
      <calculatedColumnFormula>IF(I2&gt;0,SUM(K2:N2)/I2,0)</calculatedColumnFormula>
    </tableColumn>
    <tableColumn id="17" xr3:uid="{D18716C4-8F11-43B8-94CB-F974FCF68148}" name="aprovechamiento_pct" dataDxfId="69">
      <calculatedColumnFormula>IF(I2&gt;0,O2/I2,0)</calculatedColumnFormula>
    </tableColumn>
    <tableColumn id="18" xr3:uid="{67BA0F51-0B7B-4D59-A3E9-0CA3DDA4B207}" name="nacional_basura_pct" dataDxfId="68"/>
    <tableColumn id="19" xr3:uid="{4521567A-0159-4FC5-8BB2-8367B976FE3A}" name="ingreso_total"/>
    <tableColumn id="20" xr3:uid="{B3A3268F-1CB9-4905-BA65-B4446BA97102}" name="estado_aprovechamiento"/>
    <tableColumn id="21" xr3:uid="{9751EE5A-6FDC-4D88-9BCA-BAC4C55F1DEA}" name="estado_nacional_basura"/>
    <tableColumn id="22" xr3:uid="{1AC41EDD-BF7D-4E79-B6EC-474B44FC7BE3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48482E-D4A3-40FB-8F3B-3CFAEB6E2312}" name="tbl_pedidos" displayName="tbl_pedidos" ref="A1:P179" totalsRowShown="0" headerRowDxfId="67">
  <autoFilter ref="A1:P179" xr:uid="{00000000-0009-0000-0000-000001000000}"/>
  <tableColumns count="16">
    <tableColumn id="1" xr3:uid="{4EE308F0-28EC-4487-8FB8-5F4C3C455DE5}" name="id_pedido"/>
    <tableColumn id="2" xr3:uid="{033B0A34-98F2-43DA-97B3-57E8DC62C4C0}" name="fecha_pedido"/>
    <tableColumn id="3" xr3:uid="{80A1F27D-6101-4B52-9197-A3D69E047222}" name="fecha_entrega"/>
    <tableColumn id="4" xr3:uid="{C5E10064-6BEF-4874-B4D5-83CD20F2C361}" name="cliente_carguera"/>
    <tableColumn id="5" xr3:uid="{D67EE5FD-0601-4E47-86EE-17742F146064}" name="tipo_caja"/>
    <tableColumn id="6" xr3:uid="{2447ED44-85F7-47E7-8FFA-2FCAC646C62E}" name="cantidad_cajas"/>
    <tableColumn id="7" xr3:uid="{4C943C7B-88EA-4488-B9B4-7D7C36D975A1}" name="color_variedad"/>
    <tableColumn id="8" xr3:uid="{84EE4135-AB8E-4598-B306-9087AAA21934}" name="medida_cm"/>
    <tableColumn id="9" xr3:uid="{71E8E1BA-B610-4FFC-9817-57CDD42B357D}" name="follaje"/>
    <tableColumn id="10" xr3:uid="{FB50EC1E-B09D-40F6-8F50-EDABE1A46BBC}" name="bonches"/>
    <tableColumn id="11" xr3:uid="{1C4F6740-36BF-4BA7-AE62-B392714F1AB9}" name="tallos"/>
    <tableColumn id="12" xr3:uid="{8CF443C3-0826-4CF1-BBCA-E27516D31C1D}" name="transporte"/>
    <tableColumn id="13" xr3:uid="{2BF57ACD-0D5D-4580-A8FC-4CC0C7F32787}" name="entregado"/>
    <tableColumn id="14" xr3:uid="{EB31AFBE-B61B-411E-9EFE-454FD0544A19}" name="factura"/>
    <tableColumn id="15" xr3:uid="{2C9A0BE6-1227-4516-807D-92329AEF4355}" name="estado_pedido"/>
    <tableColumn id="16" xr3:uid="{3CB11F61-1436-4E0B-A619-67E30208780A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7444AD-FDD3-456B-B18A-A753C269EECA}" name="tbl_estado_cuenta" displayName="tbl_estado_cuenta" ref="A1:K68" totalsRowShown="0" headerRowDxfId="66">
  <autoFilter ref="A1:K68" xr:uid="{00000000-0009-0000-0000-000002000000}"/>
  <tableColumns count="11">
    <tableColumn id="1" xr3:uid="{E8760466-13AD-45FD-9C0C-59169C99543D}" name="factura"/>
    <tableColumn id="2" xr3:uid="{5922FA05-5203-4B4B-B80F-62A92AD87E95}" name="cliente"/>
    <tableColumn id="3" xr3:uid="{844CE968-C529-4E1B-A392-1961AD0E3F4B}" name="ruc_cedula"/>
    <tableColumn id="4" xr3:uid="{205622C3-1C41-4B81-BB44-E5366993940A}" name="fecha_emision"/>
    <tableColumn id="5" xr3:uid="{D800B244-C343-4E00-A01C-4D2AEAAEDAD0}" name="fecha_vencimiento"/>
    <tableColumn id="6" xr3:uid="{61448E03-4686-491D-8F14-B2D5B9C40742}" name="valor_factura"/>
    <tableColumn id="7" xr3:uid="{DB1F2CF5-C0D7-4F9F-953A-B05E04A3B858}" name="estado"/>
    <tableColumn id="8" xr3:uid="{B432563B-192B-4EF3-9F91-30F876347ED1}" name="nota_credito"/>
    <tableColumn id="9" xr3:uid="{A9E63F13-0D71-46A7-B7DF-E2FD661ACCBC}" name="saldo"/>
    <tableColumn id="10" xr3:uid="{1F17DA3F-1F7B-4AE7-B816-74C7E5A5E4AF}" name="dias_vencido"/>
    <tableColumn id="11" xr3:uid="{425BC1E5-AE8B-47E6-B455-A98AB2B5E05A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BB8DC5-FF5E-4FFE-99D0-8379221A4F91}" name="tbl_proyeccion_cosecha" displayName="tbl_proyeccion_cosecha" ref="A1:J31" totalsRowShown="0" headerRowDxfId="65">
  <autoFilter ref="A1:J31" xr:uid="{00000000-0009-0000-0000-000003000000}"/>
  <tableColumns count="10">
    <tableColumn id="1" xr3:uid="{23510D41-E479-4E2D-B1A6-531071218C69}" name="semana"/>
    <tableColumn id="2" xr3:uid="{441DC8DB-096D-469F-88BC-6BE48391549C}" name="fecha_inicio"/>
    <tableColumn id="3" xr3:uid="{49AA86CB-BC94-49C9-88C9-56B49E28B879}" name="fecha_fin"/>
    <tableColumn id="4" xr3:uid="{2061F98E-8EDB-4903-AA27-BD1D21F1B00E}" name="mes"/>
    <tableColumn id="5" xr3:uid="{D47C32D4-C54C-4432-99C1-BBFBA2801D58}" name="siembra"/>
    <tableColumn id="6" xr3:uid="{FF955145-71FC-44FC-8CED-8EFED73F006B}" name="variedades"/>
    <tableColumn id="7" xr3:uid="{8EA50CFF-973F-45C7-AA89-F16E3A814C7A}" name="tallos_brutos"/>
    <tableColumn id="8" xr3:uid="{D73E3F75-D54C-4E49-A639-5A1CA0D07080}" name="descarte_estimado"/>
    <tableColumn id="9" xr3:uid="{8AED1483-7C37-46D1-B811-82BDD7190954}" name="tallos_vendibles"/>
    <tableColumn id="10" xr3:uid="{B1829DD2-4E8B-486A-8C38-805F3B500F81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383DEE-010E-4044-A775-AF79F4CF4970}" name="tbl_inventario" displayName="tbl_inventario" ref="A1:J20" totalsRowShown="0">
  <autoFilter ref="A1:J20" xr:uid="{00000000-0009-0000-0000-000004000000}"/>
  <tableColumns count="10">
    <tableColumn id="1" xr3:uid="{E779022F-2FB0-4E07-B1A7-CE8DB6978991}" name="fecha_corte"/>
    <tableColumn id="2" xr3:uid="{8F26CE7D-0A6E-40E3-8A2F-F2F211DA8BAF}" name="variedad"/>
    <tableColumn id="3" xr3:uid="{D02DE162-8F36-4B9A-AB91-6BE9317645CD}" name="medida_cm"/>
    <tableColumn id="4" xr3:uid="{2C96FED5-C7FA-4579-A9B1-CAD8D49B4DD7}" name="tallos_producidos"/>
    <tableColumn id="5" xr3:uid="{90192ED4-E32A-4929-AA87-D46D1FD612E8}" name="tallos_pedidos"/>
    <tableColumn id="6" xr3:uid="{E10B7083-FCF3-43A4-B286-F564369B8136}" name="saldo_tallos"/>
    <tableColumn id="7" xr3:uid="{69BE4687-41E6-4599-BECD-C2377A590099}" name="bonches_disponibles"/>
    <tableColumn id="8" xr3:uid="{B72675AF-8CD1-486F-9215-09015631CD09}" name="estado_stock"/>
    <tableColumn id="9" xr3:uid="{1890C63D-A724-4FF4-81CC-4867154A125E}" name="origen"/>
    <tableColumn id="10" xr3:uid="{AFD62999-A0FD-43FD-9114-5F9231504872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E0A7F9-C230-4783-B862-C332F639F29D}" name="tbl_ventas_nacionales" displayName="tbl_ventas_nacionales" ref="A1:J23" totalsRowShown="0" headerRowDxfId="64">
  <autoFilter ref="A1:J23" xr:uid="{00000000-0009-0000-0000-000005000000}"/>
  <tableColumns count="10">
    <tableColumn id="1" xr3:uid="{75A16377-3EC6-4987-B47C-8A15F2046C18}" name="fecha"/>
    <tableColumn id="2" xr3:uid="{6E792912-B2FD-47E5-8C26-B768E5BB179A}" name="cliente"/>
    <tableColumn id="3" xr3:uid="{6AAEC9AE-6F7B-40B1-9CC5-ADA523811DAB}" name="bonches"/>
    <tableColumn id="4" xr3:uid="{DEFC423B-55CC-487A-8AE7-C263CE1DABAF}" name="tallos"/>
    <tableColumn id="5" xr3:uid="{4890313A-09E4-4C25-B87D-2A961643DBD9}" name="color_variedad"/>
    <tableColumn id="6" xr3:uid="{9FF5C353-5BAA-4348-8D3B-5858A42C2697}" name="forma_pago"/>
    <tableColumn id="7" xr3:uid="{7A62A49E-56F6-4749-8379-FE75E691EA1D}" name="valor"/>
    <tableColumn id="8" xr3:uid="{12BD1910-49C8-4DB5-83ED-431ACEE3DA7F}" name="estado_pago"/>
    <tableColumn id="9" xr3:uid="{48ADFEFA-89E0-403C-82EE-852FA0E180CB}" name="observaciones"/>
    <tableColumn id="10" xr3:uid="{D526AA17-AFA8-4679-AEC9-F2874D70E54D}" name="tipo_ven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29CB12-2072-4FA8-89E7-F2551E80BAD7}" name="tbl_notas_credito" displayName="tbl_notas_credito" ref="A1:G4" totalsRowShown="0" headerRowDxfId="63">
  <autoFilter ref="A1:G4" xr:uid="{00000000-0009-0000-0000-000007000000}"/>
  <tableColumns count="7">
    <tableColumn id="1" xr3:uid="{B498A141-E592-4FF0-88C7-8F86C0222546}" name="numero"/>
    <tableColumn id="2" xr3:uid="{15989C00-E085-4E05-9B51-55CB4AACEEF0}" name="cliente"/>
    <tableColumn id="3" xr3:uid="{37408203-80C1-4F95-A17D-D7BD13D47A62}" name="fecha"/>
    <tableColumn id="4" xr3:uid="{AD63C74C-A3E2-483C-8F48-18AEBB6736FE}" name="valor"/>
    <tableColumn id="5" xr3:uid="{1F1F8E72-450E-4887-912C-4A53C53D5B4F}" name="factura"/>
    <tableColumn id="6" xr3:uid="{159B7D0C-8786-42A1-A5DE-509AE299F736}" name="motivo"/>
    <tableColumn id="7" xr3:uid="{B4AC4EAB-C2FA-4750-BE19-F0ED32BCE7DA}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19E510-F261-4914-8C0B-C3AF40E622D6}" name="tbl_rendimiento_procesadoras" displayName="tbl_rendimiento_procesadoras" ref="A11:S71" totalsRowShown="0">
  <autoFilter ref="A11:S71" xr:uid="{CC19E510-F261-4914-8C0B-C3AF40E622D6}"/>
  <tableColumns count="19">
    <tableColumn id="1" xr3:uid="{38C54E99-350E-4160-8C47-0B0B985A9F1B}" name="id_registro" dataDxfId="62">
      <calculatedColumnFormula>IF($B12="","",ROW()-11)</calculatedColumnFormula>
    </tableColumn>
    <tableColumn id="2" xr3:uid="{0AE95383-3391-4972-B70A-845C141D19BE}" name="fecha" dataDxfId="61"/>
    <tableColumn id="3" xr3:uid="{59B3C62F-A8F3-4DE5-8C83-5118470E8E43}" name="semana" dataDxfId="60">
      <calculatedColumnFormula>IF($B12="","",_xlfn.ISOWEEKNUM($B12))</calculatedColumnFormula>
    </tableColumn>
    <tableColumn id="4" xr3:uid="{D09A929D-4CC5-49CC-8DAA-5D172E3696F6}" name="mes">
      <calculatedColumnFormula>IF($B12="","",CHOOSE(MONTH($B12),"Enero","Febrero","Marzo","Abril","Mayo","Junio","Julio","Agosto","Septiembre","Octubre","Noviembre","Diciembre"))</calculatedColumnFormula>
    </tableColumn>
    <tableColumn id="5" xr3:uid="{77B2A720-7A58-4467-992A-392BB3453D42}" name="mes_num" dataDxfId="59">
      <calculatedColumnFormula>IF($B12="","",MONTH($B12))</calculatedColumnFormula>
    </tableColumn>
    <tableColumn id="6" xr3:uid="{6227A89D-93E3-4D3A-82E3-34B5D8C7FF16}" name="procesadora"/>
    <tableColumn id="7" xr3:uid="{66FBC7E3-6DBD-4205-A6EE-975D15DCDC8F}" name="variedad"/>
    <tableColumn id="8" xr3:uid="{2E4E51B1-AC3C-471D-86FC-3AE983F85B5C}" name="siembra"/>
    <tableColumn id="9" xr3:uid="{18B50DEB-2170-4966-8478-4F68C52CDD42}" name="cama"/>
    <tableColumn id="10" xr3:uid="{EB977B78-EAB9-4A2D-A7AD-540DB49337FF}" name="sesion_semana" dataDxfId="58">
      <calculatedColumnFormula>IF($B12="","",COUNTIFS($F$12:F12,F12,$C$12:C12,C12))</calculatedColumnFormula>
    </tableColumn>
    <tableColumn id="11" xr3:uid="{CDAE7637-D70A-4487-915E-D196308B3991}" name="hora_inicio" dataDxfId="57"/>
    <tableColumn id="12" xr3:uid="{90F11DF2-3EC6-48D0-AF6C-8DC08FAE4901}" name="hora_fin" dataDxfId="56"/>
    <tableColumn id="13" xr3:uid="{48E48EF0-37D0-4FD6-9582-755A82895BAD}" name="tiempo_minutos" dataDxfId="55"/>
    <tableColumn id="14" xr3:uid="{521002C7-68AA-49C8-B3A9-5D26673E60A3}" name="tallos_procesados" dataDxfId="54"/>
    <tableColumn id="15" xr3:uid="{80FD3D40-DA80-41EF-882B-A98DD294CBE0}" name="bunches_procesados" dataDxfId="53"/>
    <tableColumn id="16" xr3:uid="{28567709-4BFF-46E1-B13C-A748F067B692}" name="tallos_por_hora" dataDxfId="52">
      <calculatedColumnFormula>IF($M12&gt;0,$N12/($M12/60),0)</calculatedColumnFormula>
    </tableColumn>
    <tableColumn id="17" xr3:uid="{0B55B489-5813-4D12-8F9A-22D66D75F34D}" name="bunches_por_hora" dataDxfId="51">
      <calculatedColumnFormula>IF($M12&gt;0,$O12/($M12/60),0)</calculatedColumnFormula>
    </tableColumn>
    <tableColumn id="18" xr3:uid="{7417FBD6-2C05-4BDC-A0EC-E3A7D86D96BE}" name="observaciones"/>
    <tableColumn id="19" xr3:uid="{D6A413B0-381C-4E94-817C-F2A3B8C5EF7B}" name="estado_registro" dataDxfId="50">
      <calculatedColumnFormula>IF(COUNTA($B12,$F12,$G12,$M12,$N12)=0,"",IF(COUNTA($B12,$F12,$G12,$M12,$N12)=5,"OK","INCOMPLETO"))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9A7FE5-4080-4746-993E-3DB81A7706FD}" name="tbl_mapa_procesos" displayName="tbl_mapa_procesos" ref="A4:H14" totalsRowShown="0" headerRowDxfId="49" dataDxfId="47" headerRowBorderDxfId="48" tableBorderDxfId="46" totalsRowBorderDxfId="45">
  <autoFilter ref="A4:H14" xr:uid="{E49A7FE5-4080-4746-993E-3DB81A7706FD}"/>
  <tableColumns count="8">
    <tableColumn id="1" xr3:uid="{DCE51FA8-525C-4803-8325-F061DCFD1E43}" name="Proceso" dataDxfId="44"/>
    <tableColumn id="2" xr3:uid="{ABC20E22-7D10-4793-88B7-7BBC8D413A4E}" name="Hoja actual" dataDxfId="43"/>
    <tableColumn id="3" xr3:uid="{19B618AC-0DC0-45DA-B4C4-9B6B0D610C97}" name="Tabla creada" dataDxfId="42"/>
    <tableColumn id="4" xr3:uid="{42B79E64-53FC-4A5C-94C9-5E9E59B80DE6}" name="Tipo de dato" dataDxfId="41"/>
    <tableColumn id="5" xr3:uid="{E92E60A4-69CE-49F6-9CA2-A4C783726267}" name="Propósito" dataDxfId="40"/>
    <tableColumn id="6" xr3:uid="{9823BFB0-9902-49EE-86CB-DC53FE2A1FD9}" name="Cómo se alimenta" dataDxfId="39"/>
    <tableColumn id="7" xr3:uid="{E77521D0-C668-4C3C-812A-B47C8F2EA974}" name="Frecuencia" dataDxfId="38"/>
    <tableColumn id="8" xr3:uid="{EA80FE36-CBB1-4641-AFFD-BE216FB27A02}" name="Observación clave" dataDxfId="3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9548FD-16A7-43FD-9A72-8E0DBFF5B78E}" name="tbl_modelo_relacional" displayName="tbl_modelo_relacional" ref="A17:E25" totalsRowShown="0" headerRowDxfId="36" dataDxfId="34" headerRowBorderDxfId="35" tableBorderDxfId="33" totalsRowBorderDxfId="32">
  <autoFilter ref="A17:E25" xr:uid="{889548FD-16A7-43FD-9A72-8E0DBFF5B78E}"/>
  <tableColumns count="5">
    <tableColumn id="1" xr3:uid="{09A0FFA6-4C24-45CF-A39A-C0001B0029CD}" name="Entidad principal" dataDxfId="31"/>
    <tableColumn id="2" xr3:uid="{CB7DB547-61B6-4189-B88C-146838EF55FF}" name="Clave primaria recomendada" dataDxfId="30"/>
    <tableColumn id="3" xr3:uid="{A6CE56BC-02D6-44D0-A5B7-F7C3D38122AC}" name="Se relaciona con" dataDxfId="29"/>
    <tableColumn id="4" xr3:uid="{9F60010C-80A8-4985-9EDC-C86FB7366BD5}" name="Clave/criterio de unión" dataDxfId="28"/>
    <tableColumn id="5" xr3:uid="{FAE410B2-9E9B-4536-A92E-BB6D6645B0BB}" name="KPI o control principal" dataDxfId="27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5A5FF7B-F00E-474A-B331-C14F1FA63B91}" name="tbl_diccionario_bd" displayName="tbl_diccionario_bd" ref="A3:H109" totalsRowShown="0" headerRowDxfId="26" dataDxfId="24" headerRowBorderDxfId="25" tableBorderDxfId="23" totalsRowBorderDxfId="22">
  <autoFilter ref="A3:H109" xr:uid="{F5A5FF7B-F00E-474A-B331-C14F1FA63B91}"/>
  <tableColumns count="8">
    <tableColumn id="1" xr3:uid="{3F0CE9D1-D208-4B71-ADAD-D7C83BCA976B}" name="Tabla" dataDxfId="21"/>
    <tableColumn id="2" xr3:uid="{F4600DCB-07E2-4D45-8642-8DAD47F2E5FA}" name="Campo" dataDxfId="20"/>
    <tableColumn id="3" xr3:uid="{3217269D-E976-4201-BC57-F616FFD2A41F}" name="Tipo sugerido" dataDxfId="19"/>
    <tableColumn id="4" xr3:uid="{7DE1F34F-CEDA-4BD7-91C9-5A19FE9804BC}" name="Obligatorio" dataDxfId="18"/>
    <tableColumn id="5" xr3:uid="{EDA2E284-72A2-4BA3-AC8B-8456E323CCDC}" name="Descripción" dataDxfId="17"/>
    <tableColumn id="6" xr3:uid="{35040BF2-F316-4B44-9152-608F097026FD}" name="Validación / catálogo" dataDxfId="16"/>
    <tableColumn id="7" xr3:uid="{9A9BBD00-5D7F-403F-A5FF-0762A0CC2D92}" name="Ejemplo" dataDxfId="15"/>
    <tableColumn id="8" xr3:uid="{A9B016EE-3AD6-42F9-A337-D99AFAD64098}" name="Uso KPI" dataDxfId="14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62223F-6598-41CF-82C3-71CA871B347C}" name="tbl_control_bd" displayName="tbl_control_bd" ref="A4:I14" totalsRowShown="0" headerRowDxfId="13" dataDxfId="11" headerRowBorderDxfId="12" tableBorderDxfId="10" totalsRowBorderDxfId="9">
  <autoFilter ref="A4:I14" xr:uid="{9062223F-6598-41CF-82C3-71CA871B347C}"/>
  <tableColumns count="9">
    <tableColumn id="1" xr3:uid="{21267954-5573-48AB-A2FE-498A1AE8398B}" name="Proceso" dataDxfId="8"/>
    <tableColumn id="2" xr3:uid="{74E5AADC-202D-4B65-A961-23114B496DA8}" name="Tabla" dataDxfId="7"/>
    <tableColumn id="3" xr3:uid="{69AF57F9-68B5-423B-BD86-A6CE99A66186}" name="Clave principal" dataDxfId="6"/>
    <tableColumn id="4" xr3:uid="{833E3431-ABCE-495F-88C0-08F5330832AA}" name="Total filas" dataDxfId="5"/>
    <tableColumn id="5" xr3:uid="{9F0514D4-7887-41D6-999F-DCACA251B67E}" name="Claves vacías" dataDxfId="4"/>
    <tableColumn id="6" xr3:uid="{C886E22B-F85F-4413-BFCA-5DAD333B9D8F}" name="Duplicados clave" dataDxfId="3"/>
    <tableColumn id="7" xr3:uid="{D185AF9E-89A6-4FD8-A7EE-C97451FAAD7C}" name="Campos críticos vacíos" dataDxfId="2"/>
    <tableColumn id="8" xr3:uid="{FF2351D5-C8B8-4187-A6A8-0761407C7BFC}" name="Estado" dataDxfId="1">
      <calculatedColumnFormula>IF(SUM(E5:G5)=0,"OK","REVISAR")</calculatedColumnFormula>
    </tableColumn>
    <tableColumn id="9" xr3:uid="{B64E2E86-81F1-4C69-94EC-3669BBE860C5}" name="Acción sugerid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B0B6F9-2453-4330-B464-D73CB13AE7E9}">
  <we:reference id="wa200010215" version="2.0.0.0" store="es-E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CD29-5140-4631-B039-241D24FCF48F}">
  <dimension ref="A1:H30"/>
  <sheetViews>
    <sheetView showGridLines="0" tabSelected="1" topLeftCell="A10" workbookViewId="0">
      <pane xSplit="1" ySplit="1" topLeftCell="B18" activePane="bottomRight" state="frozen"/>
      <selection activeCell="A10" sqref="A10"/>
      <selection pane="topRight" activeCell="B10" sqref="B10"/>
      <selection pane="bottomLeft" activeCell="A11" sqref="A11"/>
      <selection pane="bottomRight" activeCell="A35" sqref="A35"/>
    </sheetView>
  </sheetViews>
  <sheetFormatPr baseColWidth="10" defaultRowHeight="14.5" x14ac:dyDescent="0.35"/>
  <cols>
    <col min="1" max="1" width="92.81640625" bestFit="1" customWidth="1"/>
    <col min="2" max="2" width="10" customWidth="1"/>
    <col min="3" max="3" width="28.36328125" bestFit="1" customWidth="1"/>
    <col min="4" max="4" width="29" bestFit="1" customWidth="1"/>
    <col min="5" max="5" width="10" customWidth="1"/>
  </cols>
  <sheetData>
    <row r="1" spans="1:8" x14ac:dyDescent="0.35">
      <c r="A1" s="61" t="s">
        <v>841</v>
      </c>
      <c r="B1" s="62"/>
      <c r="C1" s="62"/>
      <c r="D1" s="62"/>
      <c r="E1" s="62"/>
      <c r="F1" s="62"/>
      <c r="G1" s="62"/>
      <c r="H1" s="62"/>
    </row>
    <row r="2" spans="1:8" ht="29" x14ac:dyDescent="0.35">
      <c r="A2" s="55" t="s">
        <v>842</v>
      </c>
      <c r="B2" s="56">
        <v>46193</v>
      </c>
      <c r="C2" s="55"/>
      <c r="D2" s="55" t="s">
        <v>843</v>
      </c>
      <c r="E2" s="55" t="s">
        <v>844</v>
      </c>
      <c r="F2" s="55"/>
      <c r="G2" s="55"/>
      <c r="H2" s="55"/>
    </row>
    <row r="3" spans="1:8" x14ac:dyDescent="0.35">
      <c r="A3" s="54"/>
      <c r="B3" s="54"/>
      <c r="C3" s="54"/>
      <c r="D3" s="54"/>
      <c r="E3" s="54"/>
      <c r="F3" s="54"/>
      <c r="G3" s="54"/>
      <c r="H3" s="54"/>
    </row>
    <row r="4" spans="1:8" ht="116" x14ac:dyDescent="0.35">
      <c r="A4" s="57" t="s">
        <v>845</v>
      </c>
      <c r="B4" s="54" t="s">
        <v>846</v>
      </c>
      <c r="C4" s="54"/>
      <c r="D4" s="54"/>
      <c r="E4" s="54"/>
      <c r="F4" s="54"/>
      <c r="G4" s="54"/>
      <c r="H4" s="54"/>
    </row>
    <row r="5" spans="1:8" ht="101.5" x14ac:dyDescent="0.35">
      <c r="A5" s="57" t="s">
        <v>847</v>
      </c>
      <c r="B5" s="54" t="s">
        <v>848</v>
      </c>
      <c r="C5" s="54"/>
      <c r="D5" s="54"/>
      <c r="E5" s="54"/>
      <c r="F5" s="54"/>
      <c r="G5" s="54"/>
      <c r="H5" s="54"/>
    </row>
    <row r="6" spans="1:8" ht="116" x14ac:dyDescent="0.35">
      <c r="A6" s="57" t="s">
        <v>849</v>
      </c>
      <c r="B6" s="54" t="s">
        <v>850</v>
      </c>
      <c r="C6" s="54"/>
      <c r="D6" s="54"/>
      <c r="E6" s="54"/>
      <c r="F6" s="54"/>
      <c r="G6" s="54"/>
      <c r="H6" s="54"/>
    </row>
    <row r="7" spans="1:8" ht="145" x14ac:dyDescent="0.35">
      <c r="A7" s="57" t="s">
        <v>851</v>
      </c>
      <c r="B7" s="54" t="s">
        <v>852</v>
      </c>
      <c r="C7" s="54"/>
      <c r="D7" s="54"/>
      <c r="E7" s="54"/>
      <c r="F7" s="54"/>
      <c r="G7" s="54"/>
      <c r="H7" s="54"/>
    </row>
    <row r="8" spans="1:8" ht="116" x14ac:dyDescent="0.35">
      <c r="A8" s="57" t="s">
        <v>853</v>
      </c>
      <c r="B8" s="54" t="s">
        <v>854</v>
      </c>
      <c r="C8" s="54"/>
      <c r="D8" s="54"/>
      <c r="E8" s="54"/>
      <c r="F8" s="54"/>
      <c r="G8" s="54"/>
      <c r="H8" s="54"/>
    </row>
    <row r="9" spans="1:8" x14ac:dyDescent="0.35">
      <c r="A9" s="54"/>
      <c r="B9" s="54"/>
      <c r="C9" s="54"/>
      <c r="D9" s="54"/>
      <c r="E9" s="54"/>
      <c r="F9" s="54"/>
      <c r="G9" s="54"/>
      <c r="H9" s="54"/>
    </row>
    <row r="10" spans="1:8" x14ac:dyDescent="0.35">
      <c r="A10" s="58" t="s">
        <v>855</v>
      </c>
      <c r="B10" s="58" t="s">
        <v>856</v>
      </c>
      <c r="C10" s="58" t="s">
        <v>857</v>
      </c>
      <c r="D10" s="58" t="s">
        <v>430</v>
      </c>
      <c r="E10" s="58" t="s">
        <v>858</v>
      </c>
      <c r="F10" s="54"/>
      <c r="G10" s="54"/>
      <c r="H10" s="54"/>
    </row>
    <row r="11" spans="1:8" ht="101.5" x14ac:dyDescent="0.35">
      <c r="A11" s="54" t="s">
        <v>309</v>
      </c>
      <c r="B11" s="54" t="s">
        <v>859</v>
      </c>
      <c r="C11" s="54" t="s">
        <v>310</v>
      </c>
      <c r="D11" s="54" t="s">
        <v>860</v>
      </c>
      <c r="E11" s="54" t="s">
        <v>861</v>
      </c>
      <c r="F11" s="54"/>
      <c r="G11" s="54"/>
      <c r="H11" s="54"/>
    </row>
    <row r="12" spans="1:8" ht="87" x14ac:dyDescent="0.35">
      <c r="A12" s="54" t="s">
        <v>315</v>
      </c>
      <c r="B12" s="54" t="s">
        <v>862</v>
      </c>
      <c r="C12" s="54" t="s">
        <v>316</v>
      </c>
      <c r="D12" s="54" t="s">
        <v>860</v>
      </c>
      <c r="E12" s="54" t="s">
        <v>863</v>
      </c>
      <c r="F12" s="54"/>
      <c r="G12" s="54"/>
      <c r="H12" s="54"/>
    </row>
    <row r="13" spans="1:8" ht="43.5" x14ac:dyDescent="0.35">
      <c r="A13" s="54" t="s">
        <v>329</v>
      </c>
      <c r="B13" s="54" t="s">
        <v>864</v>
      </c>
      <c r="C13" s="54" t="s">
        <v>330</v>
      </c>
      <c r="D13" s="54" t="s">
        <v>860</v>
      </c>
      <c r="E13" s="54" t="s">
        <v>865</v>
      </c>
      <c r="F13" s="54"/>
      <c r="G13" s="54"/>
      <c r="H13" s="54"/>
    </row>
    <row r="14" spans="1:8" ht="29" x14ac:dyDescent="0.35">
      <c r="A14" s="54" t="s">
        <v>336</v>
      </c>
      <c r="B14" s="54" t="s">
        <v>866</v>
      </c>
      <c r="C14" s="54" t="s">
        <v>337</v>
      </c>
      <c r="D14" s="54" t="s">
        <v>860</v>
      </c>
      <c r="E14" s="54" t="s">
        <v>338</v>
      </c>
      <c r="F14" s="54"/>
      <c r="G14" s="54"/>
      <c r="H14" s="54"/>
    </row>
    <row r="15" spans="1:8" ht="87" x14ac:dyDescent="0.35">
      <c r="A15" s="54" t="s">
        <v>244</v>
      </c>
      <c r="B15" s="54" t="s">
        <v>715</v>
      </c>
      <c r="C15" s="54" t="s">
        <v>343</v>
      </c>
      <c r="D15" s="54" t="s">
        <v>860</v>
      </c>
      <c r="E15" s="54" t="s">
        <v>718</v>
      </c>
      <c r="F15" s="54"/>
      <c r="G15" s="54"/>
      <c r="H15" s="54"/>
    </row>
    <row r="16" spans="1:8" ht="87" x14ac:dyDescent="0.35">
      <c r="A16" s="54" t="s">
        <v>819</v>
      </c>
      <c r="B16" s="54" t="s">
        <v>867</v>
      </c>
      <c r="C16" s="54" t="s">
        <v>820</v>
      </c>
      <c r="D16" s="54" t="s">
        <v>860</v>
      </c>
      <c r="E16" s="54" t="s">
        <v>868</v>
      </c>
      <c r="F16" s="54"/>
      <c r="G16" s="54"/>
      <c r="H16" s="54"/>
    </row>
    <row r="17" spans="1:8" ht="43.5" x14ac:dyDescent="0.35">
      <c r="A17" s="54" t="s">
        <v>453</v>
      </c>
      <c r="B17" s="54" t="s">
        <v>869</v>
      </c>
      <c r="C17" s="54" t="s">
        <v>870</v>
      </c>
      <c r="D17" s="54" t="s">
        <v>871</v>
      </c>
      <c r="E17" s="54" t="s">
        <v>872</v>
      </c>
      <c r="F17" s="54"/>
      <c r="G17" s="54"/>
      <c r="H17" s="54"/>
    </row>
    <row r="18" spans="1:8" ht="72.5" x14ac:dyDescent="0.35">
      <c r="A18" s="54" t="s">
        <v>873</v>
      </c>
      <c r="B18" s="54" t="s">
        <v>874</v>
      </c>
      <c r="C18" s="54" t="s">
        <v>875</v>
      </c>
      <c r="D18" s="54" t="s">
        <v>860</v>
      </c>
      <c r="E18" s="54" t="s">
        <v>876</v>
      </c>
      <c r="F18" s="54"/>
      <c r="G18" s="54"/>
      <c r="H18" s="54"/>
    </row>
    <row r="19" spans="1:8" x14ac:dyDescent="0.35">
      <c r="A19" s="54"/>
      <c r="B19" s="54"/>
      <c r="C19" s="54"/>
      <c r="D19" s="54"/>
      <c r="E19" s="54"/>
      <c r="F19" s="54"/>
      <c r="G19" s="54"/>
      <c r="H19" s="54"/>
    </row>
    <row r="20" spans="1:8" ht="29" x14ac:dyDescent="0.35">
      <c r="A20" s="59" t="s">
        <v>877</v>
      </c>
      <c r="B20" s="59" t="s">
        <v>878</v>
      </c>
      <c r="C20" s="59" t="s">
        <v>879</v>
      </c>
      <c r="D20" s="54"/>
      <c r="E20" s="54"/>
      <c r="F20" s="54"/>
      <c r="G20" s="54"/>
      <c r="H20" s="54"/>
    </row>
    <row r="21" spans="1:8" ht="87" x14ac:dyDescent="0.35">
      <c r="A21" s="54" t="s">
        <v>880</v>
      </c>
      <c r="B21" s="54" t="s">
        <v>881</v>
      </c>
      <c r="C21" s="54" t="s">
        <v>882</v>
      </c>
      <c r="D21" s="54"/>
      <c r="E21" s="54"/>
      <c r="F21" s="54"/>
      <c r="G21" s="54"/>
      <c r="H21" s="54"/>
    </row>
    <row r="22" spans="1:8" ht="87" x14ac:dyDescent="0.35">
      <c r="A22" s="54" t="s">
        <v>883</v>
      </c>
      <c r="B22" s="54" t="s">
        <v>884</v>
      </c>
      <c r="C22" s="54" t="s">
        <v>885</v>
      </c>
      <c r="D22" s="54"/>
      <c r="E22" s="54"/>
      <c r="F22" s="54"/>
      <c r="G22" s="54"/>
      <c r="H22" s="54"/>
    </row>
    <row r="23" spans="1:8" ht="87" x14ac:dyDescent="0.35">
      <c r="A23" s="54" t="s">
        <v>482</v>
      </c>
      <c r="B23" s="54" t="s">
        <v>886</v>
      </c>
      <c r="C23" s="54" t="s">
        <v>887</v>
      </c>
      <c r="D23" s="54"/>
      <c r="E23" s="54"/>
      <c r="F23" s="54"/>
      <c r="G23" s="54"/>
      <c r="H23" s="54"/>
    </row>
    <row r="24" spans="1:8" ht="101.5" x14ac:dyDescent="0.35">
      <c r="A24" s="54" t="s">
        <v>888</v>
      </c>
      <c r="B24" s="54" t="s">
        <v>889</v>
      </c>
      <c r="C24" s="54" t="s">
        <v>890</v>
      </c>
      <c r="D24" s="54"/>
      <c r="E24" s="54"/>
      <c r="F24" s="54"/>
      <c r="G24" s="54"/>
      <c r="H24" s="54"/>
    </row>
    <row r="25" spans="1:8" ht="43.5" x14ac:dyDescent="0.35">
      <c r="A25" s="54" t="s">
        <v>537</v>
      </c>
      <c r="B25" s="54" t="s">
        <v>891</v>
      </c>
      <c r="C25" s="54" t="s">
        <v>892</v>
      </c>
      <c r="D25" s="54"/>
      <c r="E25" s="54"/>
      <c r="F25" s="54"/>
      <c r="G25" s="54"/>
      <c r="H25" s="54"/>
    </row>
    <row r="26" spans="1:8" x14ac:dyDescent="0.35">
      <c r="A26" s="54"/>
      <c r="B26" s="54"/>
      <c r="C26" s="54"/>
      <c r="D26" s="54"/>
      <c r="E26" s="54"/>
      <c r="F26" s="54"/>
      <c r="G26" s="54"/>
      <c r="H26" s="54"/>
    </row>
    <row r="27" spans="1:8" x14ac:dyDescent="0.35">
      <c r="A27" s="60" t="s">
        <v>893</v>
      </c>
      <c r="B27" s="60"/>
      <c r="C27" s="60"/>
      <c r="D27" s="60"/>
      <c r="E27" s="60"/>
      <c r="F27" s="60"/>
      <c r="G27" s="60"/>
      <c r="H27" s="60"/>
    </row>
    <row r="28" spans="1:8" x14ac:dyDescent="0.35">
      <c r="A28" s="54" t="s">
        <v>894</v>
      </c>
      <c r="B28" s="54"/>
      <c r="C28" s="54"/>
      <c r="D28" s="54"/>
      <c r="E28" s="54"/>
      <c r="F28" s="54"/>
      <c r="G28" s="54"/>
      <c r="H28" s="54"/>
    </row>
    <row r="29" spans="1:8" x14ac:dyDescent="0.35">
      <c r="A29" s="54" t="s">
        <v>895</v>
      </c>
      <c r="B29" s="54"/>
      <c r="C29" s="54"/>
      <c r="D29" s="54"/>
      <c r="E29" s="54"/>
      <c r="F29" s="54"/>
      <c r="G29" s="54"/>
      <c r="H29" s="54"/>
    </row>
    <row r="30" spans="1:8" x14ac:dyDescent="0.35">
      <c r="A30" s="54" t="s">
        <v>896</v>
      </c>
      <c r="B30" s="54"/>
      <c r="C30" s="54"/>
      <c r="D30" s="54"/>
      <c r="E30" s="54"/>
      <c r="F30" s="54"/>
      <c r="G30" s="54"/>
      <c r="H30" s="54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1"/>
  <sheetViews>
    <sheetView workbookViewId="0">
      <pane ySplit="1" topLeftCell="A6" activePane="bottomLeft" state="frozen"/>
      <selection pane="bottomLeft" activeCell="A35" sqref="A35"/>
    </sheetView>
  </sheetViews>
  <sheetFormatPr baseColWidth="10" defaultColWidth="8.7265625" defaultRowHeight="14.5" x14ac:dyDescent="0.35"/>
  <cols>
    <col min="1" max="1" width="15" customWidth="1"/>
    <col min="2" max="8" width="14" customWidth="1"/>
    <col min="9" max="9" width="18.36328125" bestFit="1" customWidth="1"/>
    <col min="10" max="13" width="10.6328125" bestFit="1" customWidth="1"/>
    <col min="14" max="14" width="18.26953125" bestFit="1" customWidth="1"/>
    <col min="15" max="15" width="10.08984375" bestFit="1" customWidth="1"/>
    <col min="16" max="16" width="8.81640625" bestFit="1" customWidth="1"/>
    <col min="17" max="17" width="20" customWidth="1"/>
    <col min="18" max="18" width="16" customWidth="1"/>
    <col min="19" max="19" width="24.26953125" customWidth="1"/>
    <col min="20" max="20" width="21" customWidth="1"/>
    <col min="21" max="21" width="37.453125" bestFit="1" customWidth="1"/>
    <col min="22" max="22" width="19" customWidth="1"/>
    <col min="23" max="23" width="17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755</v>
      </c>
      <c r="J1" t="s">
        <v>9</v>
      </c>
      <c r="K1" t="s">
        <v>10</v>
      </c>
      <c r="L1" t="s">
        <v>11</v>
      </c>
      <c r="M1" t="s">
        <v>12</v>
      </c>
      <c r="N1" t="s">
        <v>8</v>
      </c>
      <c r="O1" t="s">
        <v>765</v>
      </c>
      <c r="P1" t="s">
        <v>766</v>
      </c>
      <c r="Q1" t="s">
        <v>13</v>
      </c>
      <c r="R1" t="s">
        <v>744</v>
      </c>
      <c r="S1" t="s">
        <v>14</v>
      </c>
      <c r="T1" t="s">
        <v>15</v>
      </c>
      <c r="U1" t="s">
        <v>745</v>
      </c>
      <c r="V1" t="s">
        <v>16</v>
      </c>
    </row>
    <row r="2" spans="1:22" x14ac:dyDescent="0.35">
      <c r="A2">
        <v>1</v>
      </c>
      <c r="B2" s="45">
        <v>46111</v>
      </c>
      <c r="C2" s="46">
        <f>IF($B2="","",_xlfn.ISOWEEKNUM($B2))</f>
        <v>14</v>
      </c>
      <c r="D2" s="47" t="str">
        <f>IF($B2="","",CHOOSE(MONTH($B2),"Enero","Febrero","Marzo","Abril","Mayo","Junio","Julio","Agosto","Septiembre","Octubre","Noviembre","Diciembre"))</f>
        <v>Marzo</v>
      </c>
      <c r="E2" s="46">
        <f>IF($B2="","",MONTH($B2))</f>
        <v>3</v>
      </c>
      <c r="H2" t="s">
        <v>18</v>
      </c>
      <c r="I2" s="43">
        <f t="shared" ref="I2:I33" si="0">SUM(J2:M2)+O2+P2</f>
        <v>4250</v>
      </c>
      <c r="J2" s="43">
        <v>3370</v>
      </c>
      <c r="K2" s="43">
        <v>0</v>
      </c>
      <c r="L2" s="43">
        <v>0</v>
      </c>
      <c r="M2" s="43">
        <v>0</v>
      </c>
      <c r="N2" s="43">
        <f t="shared" ref="N2:N33" si="1">SUM(J2:M2)</f>
        <v>3370</v>
      </c>
      <c r="O2" s="43">
        <v>860</v>
      </c>
      <c r="P2" s="43">
        <v>20</v>
      </c>
      <c r="Q2" s="41">
        <f t="shared" ref="Q2:Q33" si="2">IF(I2&gt;0,N2/I2,0)</f>
        <v>0.79294117647058826</v>
      </c>
      <c r="R2" s="41">
        <f t="shared" ref="R2:R33" si="3">IF(I2&gt;0,(O2+P2)/I2,0)</f>
        <v>0.20705882352941177</v>
      </c>
      <c r="S2">
        <v>0</v>
      </c>
      <c r="T2" t="s">
        <v>19</v>
      </c>
      <c r="U2" t="s">
        <v>19</v>
      </c>
      <c r="V2" t="s">
        <v>20</v>
      </c>
    </row>
    <row r="3" spans="1:22" x14ac:dyDescent="0.35">
      <c r="A3">
        <v>2</v>
      </c>
      <c r="B3" s="45">
        <v>46115</v>
      </c>
      <c r="C3" s="46">
        <f t="shared" ref="C3:C66" si="4">IF($B3="","",_xlfn.ISOWEEKNUM($B3))</f>
        <v>14</v>
      </c>
      <c r="D3" s="47" t="str">
        <f t="shared" ref="D3:D66" si="5">IF($B3="","",CHOOSE(MONTH($B3),"Enero","Febrero","Marzo","Abril","Mayo","Junio","Julio","Agosto","Septiembre","Octubre","Noviembre","Diciembre"))</f>
        <v>Abril</v>
      </c>
      <c r="E3" s="46">
        <f t="shared" ref="E3:E66" si="6">IF($B3="","",MONTH($B3))</f>
        <v>4</v>
      </c>
      <c r="H3" t="s">
        <v>18</v>
      </c>
      <c r="I3" s="43">
        <f t="shared" si="0"/>
        <v>3800</v>
      </c>
      <c r="J3" s="43">
        <v>780</v>
      </c>
      <c r="K3" s="43">
        <v>600</v>
      </c>
      <c r="L3" s="43">
        <v>630</v>
      </c>
      <c r="M3" s="43">
        <v>0</v>
      </c>
      <c r="N3" s="43">
        <f t="shared" si="1"/>
        <v>2010</v>
      </c>
      <c r="O3" s="43">
        <v>1760</v>
      </c>
      <c r="P3" s="43">
        <v>30</v>
      </c>
      <c r="Q3" s="41">
        <f t="shared" si="2"/>
        <v>0.52894736842105261</v>
      </c>
      <c r="R3" s="41">
        <f t="shared" si="3"/>
        <v>0.47105263157894739</v>
      </c>
      <c r="S3">
        <v>0</v>
      </c>
      <c r="T3" t="s">
        <v>19</v>
      </c>
      <c r="U3" t="s">
        <v>19</v>
      </c>
      <c r="V3" t="s">
        <v>20</v>
      </c>
    </row>
    <row r="4" spans="1:22" x14ac:dyDescent="0.35">
      <c r="A4">
        <v>3</v>
      </c>
      <c r="B4" s="45">
        <v>46115</v>
      </c>
      <c r="C4" s="46">
        <f t="shared" si="4"/>
        <v>14</v>
      </c>
      <c r="D4" s="47" t="str">
        <f t="shared" si="5"/>
        <v>Abril</v>
      </c>
      <c r="E4" s="46">
        <f t="shared" si="6"/>
        <v>4</v>
      </c>
      <c r="H4" t="s">
        <v>23</v>
      </c>
      <c r="I4" s="43">
        <f t="shared" si="0"/>
        <v>1400</v>
      </c>
      <c r="J4" s="43">
        <v>440</v>
      </c>
      <c r="K4" s="43">
        <v>440</v>
      </c>
      <c r="L4" s="43">
        <v>280</v>
      </c>
      <c r="M4" s="43">
        <v>0</v>
      </c>
      <c r="N4" s="43">
        <f t="shared" si="1"/>
        <v>1160</v>
      </c>
      <c r="O4" s="43">
        <v>230</v>
      </c>
      <c r="P4" s="43">
        <v>10</v>
      </c>
      <c r="Q4" s="41">
        <f t="shared" si="2"/>
        <v>0.82857142857142863</v>
      </c>
      <c r="R4" s="41">
        <f t="shared" si="3"/>
        <v>0.17142857142857143</v>
      </c>
      <c r="S4">
        <v>0</v>
      </c>
      <c r="T4" t="s">
        <v>19</v>
      </c>
      <c r="U4" t="s">
        <v>19</v>
      </c>
      <c r="V4" t="s">
        <v>20</v>
      </c>
    </row>
    <row r="5" spans="1:22" x14ac:dyDescent="0.35">
      <c r="A5">
        <v>4</v>
      </c>
      <c r="B5" s="45">
        <v>46118</v>
      </c>
      <c r="C5" s="46">
        <f t="shared" si="4"/>
        <v>15</v>
      </c>
      <c r="D5" s="47" t="str">
        <f t="shared" si="5"/>
        <v>Abril</v>
      </c>
      <c r="E5" s="46">
        <f t="shared" si="6"/>
        <v>4</v>
      </c>
      <c r="F5">
        <v>14</v>
      </c>
      <c r="G5">
        <v>7</v>
      </c>
      <c r="H5" t="s">
        <v>23</v>
      </c>
      <c r="I5" s="43">
        <f t="shared" si="0"/>
        <v>150</v>
      </c>
      <c r="J5" s="43">
        <v>0</v>
      </c>
      <c r="K5" s="43">
        <v>0</v>
      </c>
      <c r="L5" s="43">
        <v>130</v>
      </c>
      <c r="M5" s="43">
        <v>0</v>
      </c>
      <c r="N5" s="43">
        <f t="shared" si="1"/>
        <v>130</v>
      </c>
      <c r="O5" s="43">
        <v>20</v>
      </c>
      <c r="P5" s="43">
        <v>0</v>
      </c>
      <c r="Q5" s="41">
        <f t="shared" si="2"/>
        <v>0.8666666666666667</v>
      </c>
      <c r="R5" s="41">
        <f t="shared" si="3"/>
        <v>0.13333333333333333</v>
      </c>
      <c r="S5">
        <v>0</v>
      </c>
      <c r="T5" t="s">
        <v>19</v>
      </c>
      <c r="U5" t="s">
        <v>19</v>
      </c>
      <c r="V5" t="s">
        <v>20</v>
      </c>
    </row>
    <row r="6" spans="1:22" x14ac:dyDescent="0.35">
      <c r="A6">
        <v>5</v>
      </c>
      <c r="B6" s="45">
        <v>46121</v>
      </c>
      <c r="C6" s="46">
        <f t="shared" si="4"/>
        <v>15</v>
      </c>
      <c r="D6" s="47" t="str">
        <f t="shared" si="5"/>
        <v>Abril</v>
      </c>
      <c r="E6" s="46">
        <f t="shared" si="6"/>
        <v>4</v>
      </c>
      <c r="H6" t="s">
        <v>23</v>
      </c>
      <c r="I6" s="43">
        <f t="shared" si="0"/>
        <v>2700</v>
      </c>
      <c r="J6" s="43">
        <v>480</v>
      </c>
      <c r="K6" s="43">
        <v>940</v>
      </c>
      <c r="L6" s="43">
        <v>1130</v>
      </c>
      <c r="M6" s="43">
        <v>0</v>
      </c>
      <c r="N6" s="43">
        <f t="shared" si="1"/>
        <v>2550</v>
      </c>
      <c r="O6" s="43">
        <v>135</v>
      </c>
      <c r="P6" s="43">
        <v>15</v>
      </c>
      <c r="Q6" s="41">
        <f t="shared" si="2"/>
        <v>0.94444444444444442</v>
      </c>
      <c r="R6" s="41">
        <f t="shared" si="3"/>
        <v>5.5555555555555552E-2</v>
      </c>
      <c r="S6">
        <v>0</v>
      </c>
      <c r="T6" t="s">
        <v>19</v>
      </c>
      <c r="U6" t="s">
        <v>19</v>
      </c>
      <c r="V6" t="s">
        <v>20</v>
      </c>
    </row>
    <row r="7" spans="1:22" x14ac:dyDescent="0.35">
      <c r="A7">
        <v>6</v>
      </c>
      <c r="B7" s="45">
        <v>46128</v>
      </c>
      <c r="C7" s="46">
        <f t="shared" si="4"/>
        <v>16</v>
      </c>
      <c r="D7" s="47" t="str">
        <f t="shared" si="5"/>
        <v>Abril</v>
      </c>
      <c r="E7" s="46">
        <f t="shared" si="6"/>
        <v>4</v>
      </c>
      <c r="H7" t="s">
        <v>18</v>
      </c>
      <c r="I7" s="43">
        <f t="shared" si="0"/>
        <v>3650</v>
      </c>
      <c r="J7" s="43">
        <v>450</v>
      </c>
      <c r="K7" s="43">
        <v>1850</v>
      </c>
      <c r="L7" s="43">
        <v>1200</v>
      </c>
      <c r="M7" s="43">
        <v>0</v>
      </c>
      <c r="N7" s="43">
        <f t="shared" si="1"/>
        <v>3500</v>
      </c>
      <c r="O7" s="43">
        <v>130</v>
      </c>
      <c r="P7" s="43">
        <v>20</v>
      </c>
      <c r="Q7" s="41">
        <f t="shared" si="2"/>
        <v>0.95890410958904104</v>
      </c>
      <c r="R7" s="41">
        <f t="shared" si="3"/>
        <v>4.1095890410958902E-2</v>
      </c>
      <c r="S7">
        <v>0</v>
      </c>
      <c r="T7" t="s">
        <v>19</v>
      </c>
      <c r="U7" t="s">
        <v>19</v>
      </c>
      <c r="V7" t="s">
        <v>20</v>
      </c>
    </row>
    <row r="8" spans="1:22" x14ac:dyDescent="0.35">
      <c r="A8">
        <v>7</v>
      </c>
      <c r="B8" s="45">
        <v>46129</v>
      </c>
      <c r="C8" s="46">
        <f t="shared" si="4"/>
        <v>16</v>
      </c>
      <c r="D8" s="47" t="str">
        <f t="shared" si="5"/>
        <v>Abril</v>
      </c>
      <c r="E8" s="46">
        <f t="shared" si="6"/>
        <v>4</v>
      </c>
      <c r="H8" t="s">
        <v>23</v>
      </c>
      <c r="I8" s="43">
        <f t="shared" si="0"/>
        <v>2230</v>
      </c>
      <c r="J8" s="43">
        <v>910</v>
      </c>
      <c r="K8" s="43">
        <v>540</v>
      </c>
      <c r="L8" s="43">
        <v>250</v>
      </c>
      <c r="M8" s="43">
        <v>0</v>
      </c>
      <c r="N8" s="43">
        <f t="shared" si="1"/>
        <v>1700</v>
      </c>
      <c r="O8" s="43">
        <v>520</v>
      </c>
      <c r="P8" s="43">
        <v>10</v>
      </c>
      <c r="Q8" s="41">
        <f t="shared" si="2"/>
        <v>0.7623318385650224</v>
      </c>
      <c r="R8" s="41">
        <f t="shared" si="3"/>
        <v>0.23766816143497757</v>
      </c>
      <c r="S8">
        <v>0</v>
      </c>
      <c r="T8" t="s">
        <v>19</v>
      </c>
      <c r="U8" t="s">
        <v>19</v>
      </c>
      <c r="V8" t="s">
        <v>20</v>
      </c>
    </row>
    <row r="9" spans="1:22" x14ac:dyDescent="0.35">
      <c r="A9">
        <v>8</v>
      </c>
      <c r="B9" s="45">
        <v>46130</v>
      </c>
      <c r="C9" s="46">
        <f t="shared" si="4"/>
        <v>16</v>
      </c>
      <c r="D9" s="47" t="str">
        <f t="shared" si="5"/>
        <v>Abril</v>
      </c>
      <c r="E9" s="46">
        <f t="shared" si="6"/>
        <v>4</v>
      </c>
      <c r="H9" t="s">
        <v>18</v>
      </c>
      <c r="I9" s="43">
        <f t="shared" si="0"/>
        <v>5400</v>
      </c>
      <c r="J9" s="43">
        <v>820</v>
      </c>
      <c r="K9" s="43">
        <v>1150</v>
      </c>
      <c r="L9" s="43">
        <v>2080</v>
      </c>
      <c r="M9" s="43">
        <v>0</v>
      </c>
      <c r="N9" s="43">
        <f t="shared" si="1"/>
        <v>4050</v>
      </c>
      <c r="O9" s="43">
        <v>1290</v>
      </c>
      <c r="P9" s="43">
        <v>60</v>
      </c>
      <c r="Q9" s="41">
        <f t="shared" si="2"/>
        <v>0.75</v>
      </c>
      <c r="R9" s="41">
        <f t="shared" si="3"/>
        <v>0.25</v>
      </c>
      <c r="S9">
        <v>0</v>
      </c>
      <c r="T9" t="s">
        <v>19</v>
      </c>
      <c r="U9" t="s">
        <v>19</v>
      </c>
      <c r="V9" t="s">
        <v>20</v>
      </c>
    </row>
    <row r="10" spans="1:22" x14ac:dyDescent="0.35">
      <c r="A10">
        <v>9</v>
      </c>
      <c r="B10" s="45">
        <v>46132</v>
      </c>
      <c r="C10" s="46">
        <f t="shared" si="4"/>
        <v>17</v>
      </c>
      <c r="D10" s="47" t="str">
        <f t="shared" si="5"/>
        <v>Abril</v>
      </c>
      <c r="E10" s="46">
        <f t="shared" si="6"/>
        <v>4</v>
      </c>
      <c r="H10" t="s">
        <v>18</v>
      </c>
      <c r="I10" s="43">
        <f t="shared" si="0"/>
        <v>10400</v>
      </c>
      <c r="J10" s="43">
        <v>2290</v>
      </c>
      <c r="K10" s="43">
        <v>2780</v>
      </c>
      <c r="L10" s="43">
        <v>4850</v>
      </c>
      <c r="M10" s="43">
        <v>0</v>
      </c>
      <c r="N10" s="43">
        <f t="shared" si="1"/>
        <v>9920</v>
      </c>
      <c r="O10" s="43">
        <v>440</v>
      </c>
      <c r="P10" s="43">
        <v>40</v>
      </c>
      <c r="Q10" s="41">
        <f t="shared" si="2"/>
        <v>0.9538461538461539</v>
      </c>
      <c r="R10" s="41">
        <f t="shared" si="3"/>
        <v>4.6153846153846156E-2</v>
      </c>
      <c r="S10">
        <v>0</v>
      </c>
      <c r="T10" t="s">
        <v>19</v>
      </c>
      <c r="U10" t="s">
        <v>19</v>
      </c>
      <c r="V10" t="s">
        <v>20</v>
      </c>
    </row>
    <row r="11" spans="1:22" x14ac:dyDescent="0.35">
      <c r="A11">
        <v>10</v>
      </c>
      <c r="B11" s="45">
        <v>46133</v>
      </c>
      <c r="C11" s="46">
        <f t="shared" si="4"/>
        <v>17</v>
      </c>
      <c r="D11" s="47" t="str">
        <f t="shared" si="5"/>
        <v>Abril</v>
      </c>
      <c r="E11" s="46">
        <f t="shared" si="6"/>
        <v>4</v>
      </c>
      <c r="H11" t="s">
        <v>18</v>
      </c>
      <c r="I11" s="43">
        <f t="shared" si="0"/>
        <v>11000</v>
      </c>
      <c r="J11" s="43">
        <v>3610</v>
      </c>
      <c r="K11" s="43">
        <v>2520</v>
      </c>
      <c r="L11" s="43">
        <v>2470</v>
      </c>
      <c r="M11" s="43">
        <v>0</v>
      </c>
      <c r="N11" s="43">
        <f t="shared" si="1"/>
        <v>8600</v>
      </c>
      <c r="O11" s="43">
        <v>2380</v>
      </c>
      <c r="P11" s="43">
        <v>20</v>
      </c>
      <c r="Q11" s="41">
        <f t="shared" si="2"/>
        <v>0.78181818181818186</v>
      </c>
      <c r="R11" s="41">
        <f t="shared" si="3"/>
        <v>0.21818181818181817</v>
      </c>
      <c r="S11">
        <v>0</v>
      </c>
      <c r="T11" t="s">
        <v>19</v>
      </c>
      <c r="U11" t="s">
        <v>19</v>
      </c>
      <c r="V11" t="s">
        <v>20</v>
      </c>
    </row>
    <row r="12" spans="1:22" x14ac:dyDescent="0.35">
      <c r="A12">
        <v>11</v>
      </c>
      <c r="B12" s="45">
        <v>46134</v>
      </c>
      <c r="C12" s="46">
        <f t="shared" si="4"/>
        <v>17</v>
      </c>
      <c r="D12" s="47" t="str">
        <f t="shared" si="5"/>
        <v>Abril</v>
      </c>
      <c r="E12" s="46">
        <f t="shared" si="6"/>
        <v>4</v>
      </c>
      <c r="H12" t="s">
        <v>18</v>
      </c>
      <c r="I12" s="43">
        <f t="shared" si="0"/>
        <v>450</v>
      </c>
      <c r="J12" s="43">
        <v>0</v>
      </c>
      <c r="K12" s="43">
        <v>450</v>
      </c>
      <c r="L12" s="43">
        <v>0</v>
      </c>
      <c r="M12" s="43">
        <v>0</v>
      </c>
      <c r="N12" s="43">
        <f t="shared" si="1"/>
        <v>450</v>
      </c>
      <c r="O12" s="43">
        <v>0</v>
      </c>
      <c r="P12" s="43">
        <v>0</v>
      </c>
      <c r="Q12" s="41">
        <f t="shared" si="2"/>
        <v>1</v>
      </c>
      <c r="R12" s="41">
        <f t="shared" si="3"/>
        <v>0</v>
      </c>
      <c r="S12">
        <v>0</v>
      </c>
      <c r="T12" t="s">
        <v>19</v>
      </c>
      <c r="U12" t="s">
        <v>19</v>
      </c>
      <c r="V12" t="s">
        <v>20</v>
      </c>
    </row>
    <row r="13" spans="1:22" x14ac:dyDescent="0.35">
      <c r="A13">
        <v>12</v>
      </c>
      <c r="B13" s="45">
        <v>46134</v>
      </c>
      <c r="C13" s="46">
        <f t="shared" si="4"/>
        <v>17</v>
      </c>
      <c r="D13" s="47" t="str">
        <f t="shared" si="5"/>
        <v>Abril</v>
      </c>
      <c r="E13" s="46">
        <f t="shared" si="6"/>
        <v>4</v>
      </c>
      <c r="H13" t="s">
        <v>23</v>
      </c>
      <c r="I13" s="43">
        <f t="shared" si="0"/>
        <v>6800</v>
      </c>
      <c r="J13" s="43">
        <v>0</v>
      </c>
      <c r="K13" s="43">
        <v>1600</v>
      </c>
      <c r="L13" s="43">
        <v>0</v>
      </c>
      <c r="M13" s="43">
        <v>0</v>
      </c>
      <c r="N13" s="43">
        <f t="shared" si="1"/>
        <v>1600</v>
      </c>
      <c r="O13" s="43">
        <v>5200</v>
      </c>
      <c r="P13" s="43">
        <v>0</v>
      </c>
      <c r="Q13" s="41">
        <f t="shared" si="2"/>
        <v>0.23529411764705882</v>
      </c>
      <c r="R13" s="41">
        <f t="shared" si="3"/>
        <v>0.76470588235294112</v>
      </c>
      <c r="S13">
        <v>0</v>
      </c>
      <c r="T13" t="s">
        <v>19</v>
      </c>
      <c r="U13" t="s">
        <v>19</v>
      </c>
      <c r="V13" t="s">
        <v>20</v>
      </c>
    </row>
    <row r="14" spans="1:22" x14ac:dyDescent="0.35">
      <c r="A14">
        <v>13</v>
      </c>
      <c r="B14" s="45">
        <v>46135</v>
      </c>
      <c r="C14" s="46">
        <f t="shared" si="4"/>
        <v>17</v>
      </c>
      <c r="D14" s="47" t="str">
        <f t="shared" si="5"/>
        <v>Abril</v>
      </c>
      <c r="E14" s="46">
        <f t="shared" si="6"/>
        <v>4</v>
      </c>
      <c r="H14" t="s">
        <v>23</v>
      </c>
      <c r="I14" s="43">
        <f t="shared" si="0"/>
        <v>10000</v>
      </c>
      <c r="J14" s="43">
        <v>560</v>
      </c>
      <c r="K14" s="43">
        <v>2560</v>
      </c>
      <c r="L14" s="43">
        <v>0</v>
      </c>
      <c r="M14" s="43">
        <v>6000</v>
      </c>
      <c r="N14" s="43">
        <f t="shared" si="1"/>
        <v>9120</v>
      </c>
      <c r="O14" s="43">
        <v>880</v>
      </c>
      <c r="P14" s="43">
        <v>0</v>
      </c>
      <c r="Q14" s="41">
        <f t="shared" si="2"/>
        <v>0.91200000000000003</v>
      </c>
      <c r="R14" s="41">
        <f t="shared" si="3"/>
        <v>8.7999999999999995E-2</v>
      </c>
      <c r="S14">
        <v>0</v>
      </c>
      <c r="T14" t="s">
        <v>19</v>
      </c>
      <c r="U14" t="s">
        <v>19</v>
      </c>
      <c r="V14" t="s">
        <v>20</v>
      </c>
    </row>
    <row r="15" spans="1:22" x14ac:dyDescent="0.35">
      <c r="A15">
        <v>14</v>
      </c>
      <c r="B15" s="45">
        <v>46135</v>
      </c>
      <c r="C15" s="46">
        <f t="shared" si="4"/>
        <v>17</v>
      </c>
      <c r="D15" s="47" t="str">
        <f t="shared" si="5"/>
        <v>Abril</v>
      </c>
      <c r="E15" s="46">
        <f t="shared" si="6"/>
        <v>4</v>
      </c>
      <c r="H15" t="s">
        <v>18</v>
      </c>
      <c r="I15" s="43">
        <f t="shared" si="0"/>
        <v>1000</v>
      </c>
      <c r="J15" s="43">
        <v>0</v>
      </c>
      <c r="K15" s="43">
        <v>400</v>
      </c>
      <c r="L15" s="43">
        <v>400</v>
      </c>
      <c r="M15" s="43">
        <v>0</v>
      </c>
      <c r="N15" s="43">
        <f t="shared" si="1"/>
        <v>800</v>
      </c>
      <c r="O15" s="43">
        <v>180</v>
      </c>
      <c r="P15" s="43">
        <v>20</v>
      </c>
      <c r="Q15" s="41">
        <f t="shared" si="2"/>
        <v>0.8</v>
      </c>
      <c r="R15" s="41">
        <f t="shared" si="3"/>
        <v>0.2</v>
      </c>
      <c r="S15">
        <v>0</v>
      </c>
      <c r="T15" t="s">
        <v>19</v>
      </c>
      <c r="U15" t="s">
        <v>19</v>
      </c>
      <c r="V15" t="s">
        <v>20</v>
      </c>
    </row>
    <row r="16" spans="1:22" x14ac:dyDescent="0.35">
      <c r="A16">
        <v>15</v>
      </c>
      <c r="B16" s="45">
        <v>46136</v>
      </c>
      <c r="C16" s="46">
        <f t="shared" si="4"/>
        <v>17</v>
      </c>
      <c r="D16" s="47" t="str">
        <f t="shared" si="5"/>
        <v>Abril</v>
      </c>
      <c r="E16" s="46">
        <f t="shared" si="6"/>
        <v>4</v>
      </c>
      <c r="I16" s="43">
        <f t="shared" si="0"/>
        <v>8500</v>
      </c>
      <c r="J16" s="43">
        <v>2250</v>
      </c>
      <c r="K16" s="43">
        <v>300</v>
      </c>
      <c r="L16" s="43">
        <v>3950</v>
      </c>
      <c r="M16" s="43">
        <v>0</v>
      </c>
      <c r="N16" s="43">
        <f t="shared" si="1"/>
        <v>6500</v>
      </c>
      <c r="O16" s="43">
        <v>2000</v>
      </c>
      <c r="P16" s="43">
        <v>0</v>
      </c>
      <c r="Q16" s="41">
        <f t="shared" si="2"/>
        <v>0.76470588235294112</v>
      </c>
      <c r="R16" s="41">
        <f t="shared" si="3"/>
        <v>0.23529411764705882</v>
      </c>
      <c r="S16">
        <v>0</v>
      </c>
      <c r="T16" t="s">
        <v>19</v>
      </c>
      <c r="U16" t="s">
        <v>19</v>
      </c>
      <c r="V16" t="s">
        <v>20</v>
      </c>
    </row>
    <row r="17" spans="1:22" x14ac:dyDescent="0.35">
      <c r="A17">
        <v>16</v>
      </c>
      <c r="B17" s="45">
        <v>46139</v>
      </c>
      <c r="C17" s="46">
        <f t="shared" si="4"/>
        <v>18</v>
      </c>
      <c r="D17" s="47" t="str">
        <f t="shared" si="5"/>
        <v>Abril</v>
      </c>
      <c r="E17" s="46">
        <f t="shared" si="6"/>
        <v>4</v>
      </c>
      <c r="I17" s="43">
        <f t="shared" si="0"/>
        <v>6800</v>
      </c>
      <c r="J17" s="43">
        <v>1000</v>
      </c>
      <c r="K17" s="43">
        <v>2000</v>
      </c>
      <c r="L17" s="43">
        <v>3540</v>
      </c>
      <c r="M17" s="43">
        <v>0</v>
      </c>
      <c r="N17" s="43">
        <f t="shared" si="1"/>
        <v>6540</v>
      </c>
      <c r="O17" s="43">
        <v>240</v>
      </c>
      <c r="P17" s="43">
        <v>20</v>
      </c>
      <c r="Q17" s="41">
        <f t="shared" si="2"/>
        <v>0.96176470588235297</v>
      </c>
      <c r="R17" s="41">
        <f t="shared" si="3"/>
        <v>3.8235294117647062E-2</v>
      </c>
      <c r="S17">
        <v>0</v>
      </c>
      <c r="T17" t="s">
        <v>19</v>
      </c>
      <c r="U17" t="s">
        <v>19</v>
      </c>
      <c r="V17" t="s">
        <v>20</v>
      </c>
    </row>
    <row r="18" spans="1:22" x14ac:dyDescent="0.35">
      <c r="A18">
        <v>17</v>
      </c>
      <c r="B18" s="45">
        <v>46140</v>
      </c>
      <c r="C18" s="46">
        <f t="shared" si="4"/>
        <v>18</v>
      </c>
      <c r="D18" s="47" t="str">
        <f t="shared" si="5"/>
        <v>Abril</v>
      </c>
      <c r="E18" s="46">
        <f t="shared" si="6"/>
        <v>4</v>
      </c>
      <c r="H18" t="s">
        <v>18</v>
      </c>
      <c r="I18" s="43">
        <f t="shared" si="0"/>
        <v>3450</v>
      </c>
      <c r="J18" s="43">
        <v>0</v>
      </c>
      <c r="K18" s="43">
        <v>1190</v>
      </c>
      <c r="L18" s="43">
        <v>1330</v>
      </c>
      <c r="M18" s="43">
        <v>930</v>
      </c>
      <c r="N18" s="43">
        <f t="shared" si="1"/>
        <v>3450</v>
      </c>
      <c r="O18" s="43">
        <v>0</v>
      </c>
      <c r="P18" s="43">
        <v>0</v>
      </c>
      <c r="Q18" s="41">
        <f t="shared" si="2"/>
        <v>1</v>
      </c>
      <c r="R18" s="41">
        <f t="shared" si="3"/>
        <v>0</v>
      </c>
      <c r="S18">
        <v>0</v>
      </c>
      <c r="T18" t="s">
        <v>19</v>
      </c>
      <c r="U18" t="s">
        <v>19</v>
      </c>
      <c r="V18" t="s">
        <v>20</v>
      </c>
    </row>
    <row r="19" spans="1:22" x14ac:dyDescent="0.35">
      <c r="A19">
        <v>18</v>
      </c>
      <c r="B19" s="45">
        <v>46140</v>
      </c>
      <c r="C19" s="46">
        <f t="shared" si="4"/>
        <v>18</v>
      </c>
      <c r="D19" s="47" t="str">
        <f t="shared" si="5"/>
        <v>Abril</v>
      </c>
      <c r="E19" s="46">
        <f t="shared" si="6"/>
        <v>4</v>
      </c>
      <c r="H19" t="s">
        <v>23</v>
      </c>
      <c r="I19" s="43">
        <f t="shared" si="0"/>
        <v>940</v>
      </c>
      <c r="J19" s="43">
        <v>170</v>
      </c>
      <c r="K19" s="43">
        <v>190</v>
      </c>
      <c r="L19" s="43">
        <v>330</v>
      </c>
      <c r="M19" s="43">
        <v>250</v>
      </c>
      <c r="N19" s="43">
        <f t="shared" si="1"/>
        <v>940</v>
      </c>
      <c r="O19" s="43">
        <v>0</v>
      </c>
      <c r="P19" s="43">
        <v>0</v>
      </c>
      <c r="Q19" s="41">
        <f t="shared" si="2"/>
        <v>1</v>
      </c>
      <c r="R19" s="41">
        <f t="shared" si="3"/>
        <v>0</v>
      </c>
      <c r="S19">
        <v>0</v>
      </c>
      <c r="T19" t="s">
        <v>19</v>
      </c>
      <c r="U19" t="s">
        <v>19</v>
      </c>
      <c r="V19" t="s">
        <v>20</v>
      </c>
    </row>
    <row r="20" spans="1:22" x14ac:dyDescent="0.35">
      <c r="A20">
        <v>19</v>
      </c>
      <c r="B20" s="45">
        <v>46149</v>
      </c>
      <c r="C20" s="46">
        <f t="shared" si="4"/>
        <v>19</v>
      </c>
      <c r="D20" s="47" t="str">
        <f t="shared" si="5"/>
        <v>Mayo</v>
      </c>
      <c r="E20" s="46">
        <f t="shared" si="6"/>
        <v>5</v>
      </c>
      <c r="H20" t="s">
        <v>18</v>
      </c>
      <c r="I20" s="43">
        <f t="shared" si="0"/>
        <v>8400</v>
      </c>
      <c r="J20" s="43">
        <v>110</v>
      </c>
      <c r="K20" s="43">
        <v>1150</v>
      </c>
      <c r="L20" s="43">
        <v>2590</v>
      </c>
      <c r="M20" s="43">
        <v>0</v>
      </c>
      <c r="N20" s="43">
        <f t="shared" si="1"/>
        <v>3850</v>
      </c>
      <c r="O20" s="43">
        <v>4540</v>
      </c>
      <c r="P20" s="43">
        <v>10</v>
      </c>
      <c r="Q20" s="41">
        <f t="shared" si="2"/>
        <v>0.45833333333333331</v>
      </c>
      <c r="R20" s="41">
        <f t="shared" si="3"/>
        <v>0.54166666666666663</v>
      </c>
      <c r="S20">
        <v>0</v>
      </c>
      <c r="T20" t="s">
        <v>19</v>
      </c>
      <c r="U20" t="s">
        <v>19</v>
      </c>
      <c r="V20" t="s">
        <v>20</v>
      </c>
    </row>
    <row r="21" spans="1:22" x14ac:dyDescent="0.35">
      <c r="A21">
        <v>20</v>
      </c>
      <c r="B21" s="45">
        <v>46153</v>
      </c>
      <c r="C21" s="46">
        <f t="shared" si="4"/>
        <v>20</v>
      </c>
      <c r="D21" s="47" t="str">
        <f t="shared" si="5"/>
        <v>Mayo</v>
      </c>
      <c r="E21" s="46">
        <f t="shared" si="6"/>
        <v>5</v>
      </c>
      <c r="H21" t="s">
        <v>18</v>
      </c>
      <c r="I21" s="43">
        <f t="shared" si="0"/>
        <v>1920</v>
      </c>
      <c r="J21" s="43">
        <v>0</v>
      </c>
      <c r="K21" s="43">
        <v>640</v>
      </c>
      <c r="L21" s="43">
        <v>1280</v>
      </c>
      <c r="M21" s="43">
        <v>0</v>
      </c>
      <c r="N21" s="43">
        <f t="shared" si="1"/>
        <v>1920</v>
      </c>
      <c r="O21" s="43">
        <v>0</v>
      </c>
      <c r="P21" s="43">
        <v>0</v>
      </c>
      <c r="Q21" s="41">
        <f t="shared" si="2"/>
        <v>1</v>
      </c>
      <c r="R21" s="41">
        <f t="shared" si="3"/>
        <v>0</v>
      </c>
      <c r="S21">
        <v>0</v>
      </c>
      <c r="T21" t="s">
        <v>19</v>
      </c>
      <c r="U21" t="s">
        <v>19</v>
      </c>
      <c r="V21" t="s">
        <v>20</v>
      </c>
    </row>
    <row r="22" spans="1:22" x14ac:dyDescent="0.35">
      <c r="A22">
        <v>21</v>
      </c>
      <c r="B22" s="45">
        <v>46156</v>
      </c>
      <c r="C22" s="46">
        <f t="shared" si="4"/>
        <v>20</v>
      </c>
      <c r="D22" s="47" t="str">
        <f t="shared" si="5"/>
        <v>Mayo</v>
      </c>
      <c r="E22" s="46">
        <f t="shared" si="6"/>
        <v>5</v>
      </c>
      <c r="F22">
        <v>13</v>
      </c>
      <c r="H22" t="s">
        <v>18</v>
      </c>
      <c r="I22" s="43">
        <f t="shared" si="0"/>
        <v>5800</v>
      </c>
      <c r="J22" s="43">
        <v>290</v>
      </c>
      <c r="K22" s="43">
        <v>640</v>
      </c>
      <c r="L22" s="43">
        <v>1300</v>
      </c>
      <c r="M22" s="43">
        <v>0</v>
      </c>
      <c r="N22" s="43">
        <f t="shared" si="1"/>
        <v>2230</v>
      </c>
      <c r="O22" s="43">
        <v>3540</v>
      </c>
      <c r="P22" s="43">
        <v>30</v>
      </c>
      <c r="Q22" s="41">
        <f t="shared" si="2"/>
        <v>0.38448275862068965</v>
      </c>
      <c r="R22" s="41">
        <f t="shared" si="3"/>
        <v>0.6155172413793103</v>
      </c>
      <c r="S22">
        <v>0</v>
      </c>
      <c r="T22" t="s">
        <v>19</v>
      </c>
      <c r="U22" t="s">
        <v>19</v>
      </c>
      <c r="V22" t="s">
        <v>20</v>
      </c>
    </row>
    <row r="23" spans="1:22" x14ac:dyDescent="0.35">
      <c r="A23">
        <v>22</v>
      </c>
      <c r="B23" s="45">
        <v>46156</v>
      </c>
      <c r="C23" s="46">
        <f t="shared" si="4"/>
        <v>20</v>
      </c>
      <c r="D23" s="47" t="str">
        <f t="shared" si="5"/>
        <v>Mayo</v>
      </c>
      <c r="E23" s="46">
        <f t="shared" si="6"/>
        <v>5</v>
      </c>
      <c r="H23" t="s">
        <v>23</v>
      </c>
      <c r="I23" s="43">
        <f t="shared" si="0"/>
        <v>360</v>
      </c>
      <c r="J23" s="43">
        <v>0</v>
      </c>
      <c r="K23" s="43">
        <v>0</v>
      </c>
      <c r="L23" s="43">
        <v>0</v>
      </c>
      <c r="M23" s="43">
        <v>0</v>
      </c>
      <c r="N23" s="43">
        <f t="shared" si="1"/>
        <v>0</v>
      </c>
      <c r="O23" s="43">
        <v>360</v>
      </c>
      <c r="P23" s="43">
        <v>0</v>
      </c>
      <c r="Q23" s="41">
        <f t="shared" si="2"/>
        <v>0</v>
      </c>
      <c r="R23" s="41">
        <f t="shared" si="3"/>
        <v>1</v>
      </c>
      <c r="S23">
        <v>0</v>
      </c>
      <c r="T23" t="s">
        <v>19</v>
      </c>
      <c r="U23" t="s">
        <v>19</v>
      </c>
      <c r="V23" t="s">
        <v>20</v>
      </c>
    </row>
    <row r="24" spans="1:22" x14ac:dyDescent="0.35">
      <c r="A24">
        <v>23</v>
      </c>
      <c r="B24" s="45">
        <v>46161</v>
      </c>
      <c r="C24" s="46">
        <f t="shared" si="4"/>
        <v>21</v>
      </c>
      <c r="D24" s="47" t="str">
        <f t="shared" si="5"/>
        <v>Mayo</v>
      </c>
      <c r="E24" s="46">
        <f t="shared" si="6"/>
        <v>5</v>
      </c>
      <c r="H24" t="s">
        <v>23</v>
      </c>
      <c r="I24" s="43">
        <f t="shared" si="0"/>
        <v>3360</v>
      </c>
      <c r="J24" s="43">
        <v>120</v>
      </c>
      <c r="K24" s="43">
        <v>370</v>
      </c>
      <c r="L24" s="43">
        <v>550</v>
      </c>
      <c r="M24" s="43">
        <v>0</v>
      </c>
      <c r="N24" s="43">
        <f t="shared" si="1"/>
        <v>1040</v>
      </c>
      <c r="O24" s="43">
        <v>2310</v>
      </c>
      <c r="P24" s="43">
        <v>10</v>
      </c>
      <c r="Q24" s="41">
        <f t="shared" si="2"/>
        <v>0.30952380952380953</v>
      </c>
      <c r="R24" s="41">
        <f t="shared" si="3"/>
        <v>0.69047619047619047</v>
      </c>
      <c r="S24">
        <v>0</v>
      </c>
      <c r="T24" t="s">
        <v>19</v>
      </c>
      <c r="U24" t="s">
        <v>19</v>
      </c>
      <c r="V24" t="s">
        <v>20</v>
      </c>
    </row>
    <row r="25" spans="1:22" x14ac:dyDescent="0.35">
      <c r="A25">
        <v>24</v>
      </c>
      <c r="B25" s="45">
        <v>46174</v>
      </c>
      <c r="C25" s="46">
        <f t="shared" si="4"/>
        <v>23</v>
      </c>
      <c r="D25" s="47" t="str">
        <f t="shared" si="5"/>
        <v>Junio</v>
      </c>
      <c r="E25" s="46">
        <f t="shared" si="6"/>
        <v>6</v>
      </c>
      <c r="F25">
        <v>1</v>
      </c>
      <c r="G25" t="s">
        <v>35</v>
      </c>
      <c r="H25" t="s">
        <v>36</v>
      </c>
      <c r="I25" s="43">
        <f t="shared" si="0"/>
        <v>4100</v>
      </c>
      <c r="J25" s="43">
        <v>2720</v>
      </c>
      <c r="K25" s="43">
        <v>950</v>
      </c>
      <c r="L25" s="43">
        <v>230</v>
      </c>
      <c r="M25" s="43">
        <v>0</v>
      </c>
      <c r="N25" s="43">
        <f t="shared" si="1"/>
        <v>3900</v>
      </c>
      <c r="O25" s="43">
        <v>180</v>
      </c>
      <c r="P25" s="43">
        <v>20</v>
      </c>
      <c r="Q25" s="41">
        <f t="shared" si="2"/>
        <v>0.95121951219512191</v>
      </c>
      <c r="R25" s="41">
        <f t="shared" si="3"/>
        <v>4.878048780487805E-2</v>
      </c>
      <c r="S25">
        <v>0</v>
      </c>
      <c r="T25" t="s">
        <v>19</v>
      </c>
      <c r="U25" t="s">
        <v>19</v>
      </c>
      <c r="V25" t="s">
        <v>20</v>
      </c>
    </row>
    <row r="26" spans="1:22" x14ac:dyDescent="0.35">
      <c r="A26">
        <v>25</v>
      </c>
      <c r="B26" s="45">
        <v>46174</v>
      </c>
      <c r="C26" s="46">
        <f t="shared" si="4"/>
        <v>23</v>
      </c>
      <c r="D26" s="47" t="str">
        <f t="shared" si="5"/>
        <v>Junio</v>
      </c>
      <c r="E26" s="46">
        <f t="shared" si="6"/>
        <v>6</v>
      </c>
      <c r="F26">
        <v>1</v>
      </c>
      <c r="H26" t="s">
        <v>23</v>
      </c>
      <c r="I26" s="43">
        <f t="shared" si="0"/>
        <v>1200</v>
      </c>
      <c r="J26" s="43">
        <v>350</v>
      </c>
      <c r="K26" s="43">
        <v>390</v>
      </c>
      <c r="L26" s="43">
        <v>430</v>
      </c>
      <c r="M26" s="43">
        <v>0</v>
      </c>
      <c r="N26" s="43">
        <f t="shared" si="1"/>
        <v>1170</v>
      </c>
      <c r="O26" s="43">
        <v>20</v>
      </c>
      <c r="P26" s="43">
        <v>10</v>
      </c>
      <c r="Q26" s="41">
        <f t="shared" si="2"/>
        <v>0.97499999999999998</v>
      </c>
      <c r="R26" s="41">
        <f t="shared" si="3"/>
        <v>2.5000000000000001E-2</v>
      </c>
      <c r="S26">
        <v>0</v>
      </c>
      <c r="T26" t="s">
        <v>19</v>
      </c>
      <c r="U26" t="s">
        <v>19</v>
      </c>
      <c r="V26" t="s">
        <v>20</v>
      </c>
    </row>
    <row r="27" spans="1:22" x14ac:dyDescent="0.35">
      <c r="A27">
        <v>26</v>
      </c>
      <c r="B27" s="45">
        <v>46176</v>
      </c>
      <c r="C27" s="46">
        <f t="shared" si="4"/>
        <v>23</v>
      </c>
      <c r="D27" s="47" t="str">
        <f t="shared" si="5"/>
        <v>Junio</v>
      </c>
      <c r="E27" s="46">
        <f t="shared" si="6"/>
        <v>6</v>
      </c>
      <c r="F27">
        <v>1</v>
      </c>
      <c r="H27" t="s">
        <v>23</v>
      </c>
      <c r="I27" s="43">
        <f t="shared" si="0"/>
        <v>3300</v>
      </c>
      <c r="J27" s="43">
        <v>3150</v>
      </c>
      <c r="K27" s="43">
        <v>0</v>
      </c>
      <c r="L27" s="43">
        <v>0</v>
      </c>
      <c r="M27" s="43">
        <v>0</v>
      </c>
      <c r="N27" s="43">
        <f t="shared" si="1"/>
        <v>3150</v>
      </c>
      <c r="O27" s="43">
        <v>150</v>
      </c>
      <c r="P27" s="43">
        <v>0</v>
      </c>
      <c r="Q27" s="41">
        <f t="shared" si="2"/>
        <v>0.95454545454545459</v>
      </c>
      <c r="R27" s="41">
        <f t="shared" si="3"/>
        <v>4.5454545454545456E-2</v>
      </c>
      <c r="S27">
        <v>0</v>
      </c>
      <c r="T27" t="s">
        <v>19</v>
      </c>
      <c r="U27" t="s">
        <v>19</v>
      </c>
      <c r="V27" t="s">
        <v>20</v>
      </c>
    </row>
    <row r="28" spans="1:22" x14ac:dyDescent="0.35">
      <c r="A28">
        <v>27</v>
      </c>
      <c r="B28" s="45">
        <v>46178</v>
      </c>
      <c r="C28" s="46">
        <f t="shared" si="4"/>
        <v>23</v>
      </c>
      <c r="D28" s="47" t="str">
        <f t="shared" si="5"/>
        <v>Junio</v>
      </c>
      <c r="E28" s="46">
        <f t="shared" si="6"/>
        <v>6</v>
      </c>
      <c r="F28">
        <v>1</v>
      </c>
      <c r="G28" t="s">
        <v>38</v>
      </c>
      <c r="H28" t="s">
        <v>36</v>
      </c>
      <c r="I28" s="43">
        <f t="shared" si="0"/>
        <v>4000</v>
      </c>
      <c r="J28" s="43">
        <v>1970</v>
      </c>
      <c r="K28" s="43">
        <v>1360</v>
      </c>
      <c r="L28" s="43">
        <v>370</v>
      </c>
      <c r="M28" s="43">
        <v>0</v>
      </c>
      <c r="N28" s="43">
        <f t="shared" si="1"/>
        <v>3700</v>
      </c>
      <c r="O28" s="43">
        <v>300</v>
      </c>
      <c r="P28" s="43">
        <v>0</v>
      </c>
      <c r="Q28" s="41">
        <f t="shared" si="2"/>
        <v>0.92500000000000004</v>
      </c>
      <c r="R28" s="41">
        <f t="shared" si="3"/>
        <v>7.4999999999999997E-2</v>
      </c>
      <c r="S28">
        <v>0</v>
      </c>
      <c r="T28" t="s">
        <v>19</v>
      </c>
      <c r="U28" t="s">
        <v>19</v>
      </c>
      <c r="V28" t="s">
        <v>20</v>
      </c>
    </row>
    <row r="29" spans="1:22" x14ac:dyDescent="0.35">
      <c r="A29">
        <v>28</v>
      </c>
      <c r="B29" s="45">
        <v>46178</v>
      </c>
      <c r="C29" s="46">
        <f t="shared" si="4"/>
        <v>23</v>
      </c>
      <c r="D29" s="47" t="str">
        <f t="shared" si="5"/>
        <v>Junio</v>
      </c>
      <c r="E29" s="46">
        <f t="shared" si="6"/>
        <v>6</v>
      </c>
      <c r="F29">
        <v>1</v>
      </c>
      <c r="H29" t="s">
        <v>23</v>
      </c>
      <c r="I29" s="43">
        <f t="shared" si="0"/>
        <v>2200</v>
      </c>
      <c r="J29" s="43">
        <v>0</v>
      </c>
      <c r="K29" s="43">
        <v>150</v>
      </c>
      <c r="L29" s="43">
        <v>960</v>
      </c>
      <c r="M29" s="43">
        <v>1010</v>
      </c>
      <c r="N29" s="43">
        <f t="shared" si="1"/>
        <v>2120</v>
      </c>
      <c r="O29" s="43">
        <v>80</v>
      </c>
      <c r="P29" s="43">
        <v>0</v>
      </c>
      <c r="Q29" s="41">
        <f t="shared" si="2"/>
        <v>0.96363636363636362</v>
      </c>
      <c r="R29" s="41">
        <f t="shared" si="3"/>
        <v>3.6363636363636362E-2</v>
      </c>
      <c r="S29">
        <v>0</v>
      </c>
      <c r="T29" t="s">
        <v>19</v>
      </c>
      <c r="U29" t="s">
        <v>19</v>
      </c>
      <c r="V29" t="s">
        <v>20</v>
      </c>
    </row>
    <row r="30" spans="1:22" x14ac:dyDescent="0.35">
      <c r="A30">
        <v>29</v>
      </c>
      <c r="B30" s="45">
        <v>46178</v>
      </c>
      <c r="C30" s="46">
        <f t="shared" si="4"/>
        <v>23</v>
      </c>
      <c r="D30" s="47" t="str">
        <f t="shared" si="5"/>
        <v>Junio</v>
      </c>
      <c r="E30" s="46">
        <f t="shared" si="6"/>
        <v>6</v>
      </c>
      <c r="H30" t="s">
        <v>18</v>
      </c>
      <c r="I30" s="43">
        <f t="shared" si="0"/>
        <v>160</v>
      </c>
      <c r="J30" s="43">
        <v>0</v>
      </c>
      <c r="K30" s="43">
        <v>0</v>
      </c>
      <c r="L30" s="43">
        <v>0</v>
      </c>
      <c r="M30" s="43">
        <v>0</v>
      </c>
      <c r="N30" s="43">
        <f t="shared" si="1"/>
        <v>0</v>
      </c>
      <c r="O30" s="43">
        <v>160</v>
      </c>
      <c r="P30" s="43">
        <v>0</v>
      </c>
      <c r="Q30" s="41">
        <f t="shared" si="2"/>
        <v>0</v>
      </c>
      <c r="R30" s="41">
        <f t="shared" si="3"/>
        <v>1</v>
      </c>
      <c r="S30">
        <v>0</v>
      </c>
      <c r="T30" t="s">
        <v>19</v>
      </c>
      <c r="U30" t="s">
        <v>19</v>
      </c>
      <c r="V30" t="s">
        <v>20</v>
      </c>
    </row>
    <row r="31" spans="1:22" x14ac:dyDescent="0.35">
      <c r="A31">
        <v>30</v>
      </c>
      <c r="B31" s="45">
        <v>46179</v>
      </c>
      <c r="C31" s="46">
        <f t="shared" si="4"/>
        <v>23</v>
      </c>
      <c r="D31" s="47" t="str">
        <f t="shared" si="5"/>
        <v>Junio</v>
      </c>
      <c r="E31" s="46">
        <f t="shared" si="6"/>
        <v>6</v>
      </c>
      <c r="F31">
        <v>1</v>
      </c>
      <c r="H31" t="s">
        <v>23</v>
      </c>
      <c r="I31" s="43">
        <f t="shared" si="0"/>
        <v>3940</v>
      </c>
      <c r="J31" s="43">
        <v>0</v>
      </c>
      <c r="K31" s="43">
        <v>340</v>
      </c>
      <c r="L31" s="43">
        <v>1930</v>
      </c>
      <c r="M31" s="43">
        <v>1470</v>
      </c>
      <c r="N31" s="43">
        <f t="shared" si="1"/>
        <v>3740</v>
      </c>
      <c r="O31" s="43">
        <v>200</v>
      </c>
      <c r="P31" s="43">
        <v>0</v>
      </c>
      <c r="Q31" s="41">
        <f t="shared" si="2"/>
        <v>0.949238578680203</v>
      </c>
      <c r="R31" s="41">
        <f t="shared" si="3"/>
        <v>5.0761421319796954E-2</v>
      </c>
      <c r="S31">
        <v>0</v>
      </c>
      <c r="T31" t="s">
        <v>19</v>
      </c>
      <c r="U31" t="s">
        <v>19</v>
      </c>
      <c r="V31" t="s">
        <v>20</v>
      </c>
    </row>
    <row r="32" spans="1:22" x14ac:dyDescent="0.35">
      <c r="A32">
        <v>31</v>
      </c>
      <c r="B32" s="45">
        <v>46181</v>
      </c>
      <c r="C32" s="46">
        <f t="shared" si="4"/>
        <v>24</v>
      </c>
      <c r="D32" s="47" t="str">
        <f t="shared" si="5"/>
        <v>Junio</v>
      </c>
      <c r="E32" s="46">
        <f t="shared" si="6"/>
        <v>6</v>
      </c>
      <c r="F32">
        <v>1</v>
      </c>
      <c r="H32" t="s">
        <v>23</v>
      </c>
      <c r="I32" s="43">
        <f t="shared" si="0"/>
        <v>2000</v>
      </c>
      <c r="J32" s="43">
        <v>150</v>
      </c>
      <c r="K32" s="43">
        <v>440</v>
      </c>
      <c r="L32" s="43">
        <v>560</v>
      </c>
      <c r="M32" s="43">
        <v>610</v>
      </c>
      <c r="N32" s="43">
        <f t="shared" si="1"/>
        <v>1760</v>
      </c>
      <c r="O32" s="43">
        <v>240</v>
      </c>
      <c r="P32" s="43">
        <v>0</v>
      </c>
      <c r="Q32" s="41">
        <f t="shared" si="2"/>
        <v>0.88</v>
      </c>
      <c r="R32" s="41">
        <f t="shared" si="3"/>
        <v>0.12</v>
      </c>
      <c r="S32">
        <v>0</v>
      </c>
      <c r="T32" t="s">
        <v>19</v>
      </c>
      <c r="U32" t="s">
        <v>19</v>
      </c>
      <c r="V32" t="s">
        <v>20</v>
      </c>
    </row>
    <row r="33" spans="1:22" x14ac:dyDescent="0.35">
      <c r="A33">
        <v>32</v>
      </c>
      <c r="B33" s="45">
        <v>46181</v>
      </c>
      <c r="C33" s="46">
        <f t="shared" si="4"/>
        <v>24</v>
      </c>
      <c r="D33" s="47" t="str">
        <f t="shared" si="5"/>
        <v>Junio</v>
      </c>
      <c r="E33" s="46">
        <f t="shared" si="6"/>
        <v>6</v>
      </c>
      <c r="F33">
        <v>1</v>
      </c>
      <c r="G33">
        <v>3</v>
      </c>
      <c r="H33" t="s">
        <v>36</v>
      </c>
      <c r="I33" s="43">
        <f t="shared" si="0"/>
        <v>1790</v>
      </c>
      <c r="J33" s="43">
        <v>280</v>
      </c>
      <c r="K33" s="43">
        <v>580</v>
      </c>
      <c r="L33" s="43">
        <v>450</v>
      </c>
      <c r="M33" s="43">
        <v>300</v>
      </c>
      <c r="N33" s="43">
        <f t="shared" si="1"/>
        <v>1610</v>
      </c>
      <c r="O33" s="43">
        <v>160</v>
      </c>
      <c r="P33" s="43">
        <v>20</v>
      </c>
      <c r="Q33" s="41">
        <f t="shared" si="2"/>
        <v>0.8994413407821229</v>
      </c>
      <c r="R33" s="41">
        <f t="shared" si="3"/>
        <v>0.1005586592178771</v>
      </c>
      <c r="S33">
        <v>0</v>
      </c>
      <c r="T33" t="s">
        <v>19</v>
      </c>
      <c r="U33" t="s">
        <v>19</v>
      </c>
      <c r="V33" t="s">
        <v>20</v>
      </c>
    </row>
    <row r="34" spans="1:22" x14ac:dyDescent="0.35">
      <c r="A34">
        <v>33</v>
      </c>
      <c r="B34" s="45">
        <v>46194</v>
      </c>
      <c r="C34" s="46">
        <f t="shared" si="4"/>
        <v>25</v>
      </c>
      <c r="D34" s="47" t="str">
        <f t="shared" si="5"/>
        <v>Junio</v>
      </c>
      <c r="E34" s="46">
        <f t="shared" si="6"/>
        <v>6</v>
      </c>
      <c r="I34" s="42"/>
      <c r="J34" s="42">
        <f>SUM(K34:O34)</f>
        <v>0</v>
      </c>
      <c r="K34" s="42"/>
      <c r="L34" s="42"/>
      <c r="M34" s="42"/>
      <c r="N34" s="42"/>
      <c r="O34" s="42"/>
      <c r="P34" s="42">
        <f>IF(I34&gt;0,SUM(K34:N34)/I34,0)</f>
        <v>0</v>
      </c>
      <c r="Q34" s="42">
        <f>IF(I34&gt;0,O34/I34,0)</f>
        <v>0</v>
      </c>
      <c r="R34" s="42"/>
    </row>
    <row r="35" spans="1:22" x14ac:dyDescent="0.35">
      <c r="B35" s="45"/>
      <c r="C35" s="46" t="str">
        <f t="shared" si="4"/>
        <v/>
      </c>
      <c r="D35" s="47" t="str">
        <f t="shared" si="5"/>
        <v/>
      </c>
      <c r="E35" s="46" t="str">
        <f t="shared" si="6"/>
        <v/>
      </c>
      <c r="I35" s="42"/>
      <c r="J35" s="42">
        <f t="shared" ref="J35:J98" si="7">SUM(K35:O35)</f>
        <v>0</v>
      </c>
      <c r="K35" s="42"/>
      <c r="L35" s="42"/>
      <c r="M35" s="42"/>
      <c r="N35" s="42"/>
      <c r="O35" s="42"/>
      <c r="P35" s="42">
        <f t="shared" ref="P35:P98" si="8">IF(I35&gt;0,SUM(K35:N35)/I35,0)</f>
        <v>0</v>
      </c>
      <c r="Q35" s="42">
        <f t="shared" ref="Q35:Q98" si="9">IF(I35&gt;0,O35/I35,0)</f>
        <v>0</v>
      </c>
      <c r="R35" s="42"/>
    </row>
    <row r="36" spans="1:22" x14ac:dyDescent="0.35">
      <c r="B36" s="45"/>
      <c r="C36" s="46" t="str">
        <f t="shared" si="4"/>
        <v/>
      </c>
      <c r="D36" s="47" t="str">
        <f t="shared" si="5"/>
        <v/>
      </c>
      <c r="E36" s="46" t="str">
        <f t="shared" si="6"/>
        <v/>
      </c>
      <c r="I36" s="42"/>
      <c r="J36" s="42">
        <f t="shared" si="7"/>
        <v>0</v>
      </c>
      <c r="K36" s="42"/>
      <c r="L36" s="42"/>
      <c r="M36" s="42"/>
      <c r="N36" s="42"/>
      <c r="O36" s="42"/>
      <c r="P36" s="42">
        <f t="shared" si="8"/>
        <v>0</v>
      </c>
      <c r="Q36" s="42">
        <f t="shared" si="9"/>
        <v>0</v>
      </c>
      <c r="R36" s="42"/>
    </row>
    <row r="37" spans="1:22" x14ac:dyDescent="0.35">
      <c r="B37" s="45"/>
      <c r="C37" s="46" t="str">
        <f t="shared" si="4"/>
        <v/>
      </c>
      <c r="D37" s="47" t="str">
        <f t="shared" si="5"/>
        <v/>
      </c>
      <c r="E37" s="46" t="str">
        <f t="shared" si="6"/>
        <v/>
      </c>
      <c r="I37" s="42"/>
      <c r="J37" s="42">
        <f t="shared" si="7"/>
        <v>0</v>
      </c>
      <c r="K37" s="42"/>
      <c r="L37" s="42"/>
      <c r="M37" s="42"/>
      <c r="N37" s="42"/>
      <c r="O37" s="42"/>
      <c r="P37" s="42">
        <f t="shared" si="8"/>
        <v>0</v>
      </c>
      <c r="Q37" s="42">
        <f t="shared" si="9"/>
        <v>0</v>
      </c>
      <c r="R37" s="42"/>
    </row>
    <row r="38" spans="1:22" x14ac:dyDescent="0.35">
      <c r="B38" s="45"/>
      <c r="C38" s="46" t="str">
        <f t="shared" si="4"/>
        <v/>
      </c>
      <c r="D38" s="47" t="str">
        <f t="shared" si="5"/>
        <v/>
      </c>
      <c r="E38" s="46" t="str">
        <f t="shared" si="6"/>
        <v/>
      </c>
      <c r="I38" s="42"/>
      <c r="J38" s="42">
        <f t="shared" si="7"/>
        <v>0</v>
      </c>
      <c r="K38" s="42"/>
      <c r="L38" s="42"/>
      <c r="M38" s="42"/>
      <c r="N38" s="42"/>
      <c r="O38" s="42"/>
      <c r="P38" s="42">
        <f t="shared" si="8"/>
        <v>0</v>
      </c>
      <c r="Q38" s="42">
        <f t="shared" si="9"/>
        <v>0</v>
      </c>
      <c r="R38" s="42"/>
    </row>
    <row r="39" spans="1:22" x14ac:dyDescent="0.35">
      <c r="B39" s="45"/>
      <c r="C39" s="46" t="str">
        <f t="shared" si="4"/>
        <v/>
      </c>
      <c r="D39" s="47" t="str">
        <f t="shared" si="5"/>
        <v/>
      </c>
      <c r="E39" s="46" t="str">
        <f t="shared" si="6"/>
        <v/>
      </c>
      <c r="I39" s="42"/>
      <c r="J39" s="42">
        <f t="shared" si="7"/>
        <v>0</v>
      </c>
      <c r="K39" s="42"/>
      <c r="L39" s="42"/>
      <c r="M39" s="42"/>
      <c r="N39" s="42"/>
      <c r="O39" s="42"/>
      <c r="P39" s="42">
        <f t="shared" si="8"/>
        <v>0</v>
      </c>
      <c r="Q39" s="42">
        <f t="shared" si="9"/>
        <v>0</v>
      </c>
      <c r="R39" s="42"/>
    </row>
    <row r="40" spans="1:22" x14ac:dyDescent="0.35">
      <c r="B40" s="45"/>
      <c r="C40" s="46" t="str">
        <f t="shared" si="4"/>
        <v/>
      </c>
      <c r="D40" s="47" t="str">
        <f t="shared" si="5"/>
        <v/>
      </c>
      <c r="E40" s="46" t="str">
        <f t="shared" si="6"/>
        <v/>
      </c>
      <c r="I40" s="42"/>
      <c r="J40" s="42">
        <f t="shared" si="7"/>
        <v>0</v>
      </c>
      <c r="K40" s="42"/>
      <c r="L40" s="42"/>
      <c r="M40" s="42"/>
      <c r="N40" s="42"/>
      <c r="O40" s="42"/>
      <c r="P40" s="42">
        <f t="shared" si="8"/>
        <v>0</v>
      </c>
      <c r="Q40" s="42">
        <f t="shared" si="9"/>
        <v>0</v>
      </c>
      <c r="R40" s="42"/>
    </row>
    <row r="41" spans="1:22" x14ac:dyDescent="0.35">
      <c r="B41" s="45"/>
      <c r="C41" s="46" t="str">
        <f t="shared" si="4"/>
        <v/>
      </c>
      <c r="D41" s="47" t="str">
        <f t="shared" si="5"/>
        <v/>
      </c>
      <c r="E41" s="46" t="str">
        <f t="shared" si="6"/>
        <v/>
      </c>
      <c r="I41" s="42"/>
      <c r="J41" s="42">
        <f t="shared" si="7"/>
        <v>0</v>
      </c>
      <c r="K41" s="42"/>
      <c r="L41" s="42"/>
      <c r="M41" s="42"/>
      <c r="N41" s="42"/>
      <c r="O41" s="42"/>
      <c r="P41" s="42">
        <f t="shared" si="8"/>
        <v>0</v>
      </c>
      <c r="Q41" s="42">
        <f t="shared" si="9"/>
        <v>0</v>
      </c>
      <c r="R41" s="42"/>
    </row>
    <row r="42" spans="1:22" x14ac:dyDescent="0.35">
      <c r="B42" s="45"/>
      <c r="C42" s="46" t="str">
        <f t="shared" si="4"/>
        <v/>
      </c>
      <c r="D42" s="47" t="str">
        <f t="shared" si="5"/>
        <v/>
      </c>
      <c r="E42" s="46" t="str">
        <f t="shared" si="6"/>
        <v/>
      </c>
      <c r="I42" s="42"/>
      <c r="J42" s="42">
        <f t="shared" si="7"/>
        <v>0</v>
      </c>
      <c r="K42" s="42"/>
      <c r="L42" s="42"/>
      <c r="M42" s="42"/>
      <c r="N42" s="42"/>
      <c r="O42" s="42"/>
      <c r="P42" s="42">
        <f t="shared" si="8"/>
        <v>0</v>
      </c>
      <c r="Q42" s="42">
        <f t="shared" si="9"/>
        <v>0</v>
      </c>
      <c r="R42" s="42"/>
    </row>
    <row r="43" spans="1:22" x14ac:dyDescent="0.35">
      <c r="B43" s="45"/>
      <c r="C43" s="46" t="str">
        <f t="shared" si="4"/>
        <v/>
      </c>
      <c r="D43" s="47" t="str">
        <f t="shared" si="5"/>
        <v/>
      </c>
      <c r="E43" s="46" t="str">
        <f t="shared" si="6"/>
        <v/>
      </c>
      <c r="I43" s="42"/>
      <c r="J43" s="42">
        <f t="shared" si="7"/>
        <v>0</v>
      </c>
      <c r="K43" s="42"/>
      <c r="L43" s="42"/>
      <c r="M43" s="42"/>
      <c r="N43" s="42"/>
      <c r="O43" s="42"/>
      <c r="P43" s="42">
        <f t="shared" si="8"/>
        <v>0</v>
      </c>
      <c r="Q43" s="42">
        <f t="shared" si="9"/>
        <v>0</v>
      </c>
      <c r="R43" s="42"/>
    </row>
    <row r="44" spans="1:22" x14ac:dyDescent="0.35">
      <c r="B44" s="45"/>
      <c r="C44" s="46" t="str">
        <f t="shared" si="4"/>
        <v/>
      </c>
      <c r="D44" s="47" t="str">
        <f t="shared" si="5"/>
        <v/>
      </c>
      <c r="E44" s="46" t="str">
        <f t="shared" si="6"/>
        <v/>
      </c>
      <c r="I44" s="42"/>
      <c r="J44" s="42">
        <f t="shared" si="7"/>
        <v>0</v>
      </c>
      <c r="K44" s="42"/>
      <c r="L44" s="42"/>
      <c r="M44" s="42"/>
      <c r="N44" s="42"/>
      <c r="O44" s="42"/>
      <c r="P44" s="42">
        <f t="shared" si="8"/>
        <v>0</v>
      </c>
      <c r="Q44" s="42">
        <f t="shared" si="9"/>
        <v>0</v>
      </c>
      <c r="R44" s="42"/>
    </row>
    <row r="45" spans="1:22" x14ac:dyDescent="0.35">
      <c r="B45" s="45"/>
      <c r="C45" s="46" t="str">
        <f t="shared" si="4"/>
        <v/>
      </c>
      <c r="D45" s="47" t="str">
        <f t="shared" si="5"/>
        <v/>
      </c>
      <c r="E45" s="46" t="str">
        <f t="shared" si="6"/>
        <v/>
      </c>
      <c r="I45" s="42"/>
      <c r="J45" s="42">
        <f t="shared" si="7"/>
        <v>0</v>
      </c>
      <c r="K45" s="42"/>
      <c r="L45" s="42"/>
      <c r="M45" s="42"/>
      <c r="N45" s="42"/>
      <c r="O45" s="42"/>
      <c r="P45" s="42">
        <f t="shared" si="8"/>
        <v>0</v>
      </c>
      <c r="Q45" s="42">
        <f t="shared" si="9"/>
        <v>0</v>
      </c>
      <c r="R45" s="42"/>
    </row>
    <row r="46" spans="1:22" x14ac:dyDescent="0.35">
      <c r="B46" s="45"/>
      <c r="C46" s="46" t="str">
        <f t="shared" si="4"/>
        <v/>
      </c>
      <c r="D46" s="47" t="str">
        <f t="shared" si="5"/>
        <v/>
      </c>
      <c r="E46" s="46" t="str">
        <f t="shared" si="6"/>
        <v/>
      </c>
      <c r="I46" s="42"/>
      <c r="J46" s="42">
        <f t="shared" si="7"/>
        <v>0</v>
      </c>
      <c r="K46" s="42"/>
      <c r="L46" s="42"/>
      <c r="M46" s="42"/>
      <c r="N46" s="42"/>
      <c r="O46" s="42"/>
      <c r="P46" s="42">
        <f t="shared" si="8"/>
        <v>0</v>
      </c>
      <c r="Q46" s="42">
        <f t="shared" si="9"/>
        <v>0</v>
      </c>
      <c r="R46" s="42"/>
    </row>
    <row r="47" spans="1:22" x14ac:dyDescent="0.35">
      <c r="B47" s="45"/>
      <c r="C47" s="46" t="str">
        <f t="shared" si="4"/>
        <v/>
      </c>
      <c r="D47" s="47" t="str">
        <f t="shared" si="5"/>
        <v/>
      </c>
      <c r="E47" s="46" t="str">
        <f t="shared" si="6"/>
        <v/>
      </c>
      <c r="I47" s="42"/>
      <c r="J47" s="42">
        <f t="shared" si="7"/>
        <v>0</v>
      </c>
      <c r="K47" s="42"/>
      <c r="L47" s="42"/>
      <c r="M47" s="42"/>
      <c r="N47" s="42"/>
      <c r="O47" s="42"/>
      <c r="P47" s="42">
        <f t="shared" si="8"/>
        <v>0</v>
      </c>
      <c r="Q47" s="42">
        <f t="shared" si="9"/>
        <v>0</v>
      </c>
      <c r="R47" s="42"/>
    </row>
    <row r="48" spans="1:22" x14ac:dyDescent="0.35">
      <c r="B48" s="45"/>
      <c r="C48" s="46" t="str">
        <f t="shared" si="4"/>
        <v/>
      </c>
      <c r="D48" s="47" t="str">
        <f t="shared" si="5"/>
        <v/>
      </c>
      <c r="E48" s="46" t="str">
        <f t="shared" si="6"/>
        <v/>
      </c>
      <c r="I48" s="42"/>
      <c r="J48" s="42">
        <f t="shared" si="7"/>
        <v>0</v>
      </c>
      <c r="K48" s="42"/>
      <c r="L48" s="42"/>
      <c r="M48" s="42"/>
      <c r="N48" s="42"/>
      <c r="O48" s="42"/>
      <c r="P48" s="42">
        <f t="shared" si="8"/>
        <v>0</v>
      </c>
      <c r="Q48" s="42">
        <f t="shared" si="9"/>
        <v>0</v>
      </c>
      <c r="R48" s="42"/>
    </row>
    <row r="49" spans="2:18" x14ac:dyDescent="0.35">
      <c r="B49" s="45"/>
      <c r="C49" s="46" t="str">
        <f t="shared" si="4"/>
        <v/>
      </c>
      <c r="D49" s="47" t="str">
        <f t="shared" si="5"/>
        <v/>
      </c>
      <c r="E49" s="46" t="str">
        <f t="shared" si="6"/>
        <v/>
      </c>
      <c r="I49" s="42"/>
      <c r="J49" s="42">
        <f t="shared" si="7"/>
        <v>0</v>
      </c>
      <c r="K49" s="42"/>
      <c r="L49" s="42"/>
      <c r="M49" s="42"/>
      <c r="N49" s="42"/>
      <c r="O49" s="42"/>
      <c r="P49" s="42">
        <f t="shared" si="8"/>
        <v>0</v>
      </c>
      <c r="Q49" s="42">
        <f t="shared" si="9"/>
        <v>0</v>
      </c>
      <c r="R49" s="42"/>
    </row>
    <row r="50" spans="2:18" x14ac:dyDescent="0.35">
      <c r="B50" s="45"/>
      <c r="C50" s="46" t="str">
        <f t="shared" si="4"/>
        <v/>
      </c>
      <c r="D50" s="47" t="str">
        <f t="shared" si="5"/>
        <v/>
      </c>
      <c r="E50" s="46" t="str">
        <f t="shared" si="6"/>
        <v/>
      </c>
      <c r="I50" s="42"/>
      <c r="J50" s="42">
        <f t="shared" si="7"/>
        <v>0</v>
      </c>
      <c r="K50" s="42"/>
      <c r="L50" s="42"/>
      <c r="M50" s="42"/>
      <c r="N50" s="42"/>
      <c r="O50" s="42"/>
      <c r="P50" s="42">
        <f t="shared" si="8"/>
        <v>0</v>
      </c>
      <c r="Q50" s="42">
        <f t="shared" si="9"/>
        <v>0</v>
      </c>
      <c r="R50" s="42"/>
    </row>
    <row r="51" spans="2:18" x14ac:dyDescent="0.35">
      <c r="B51" s="45"/>
      <c r="C51" s="46" t="str">
        <f t="shared" si="4"/>
        <v/>
      </c>
      <c r="D51" s="47" t="str">
        <f t="shared" si="5"/>
        <v/>
      </c>
      <c r="E51" s="46" t="str">
        <f t="shared" si="6"/>
        <v/>
      </c>
      <c r="I51" s="42"/>
      <c r="J51" s="42">
        <f t="shared" si="7"/>
        <v>0</v>
      </c>
      <c r="K51" s="42"/>
      <c r="L51" s="42"/>
      <c r="M51" s="42"/>
      <c r="N51" s="42"/>
      <c r="O51" s="42"/>
      <c r="P51" s="42">
        <f t="shared" si="8"/>
        <v>0</v>
      </c>
      <c r="Q51" s="42">
        <f t="shared" si="9"/>
        <v>0</v>
      </c>
      <c r="R51" s="42"/>
    </row>
    <row r="52" spans="2:18" x14ac:dyDescent="0.35">
      <c r="B52" s="45"/>
      <c r="C52" s="46" t="str">
        <f t="shared" si="4"/>
        <v/>
      </c>
      <c r="D52" s="47" t="str">
        <f t="shared" si="5"/>
        <v/>
      </c>
      <c r="E52" s="46" t="str">
        <f t="shared" si="6"/>
        <v/>
      </c>
      <c r="I52" s="42"/>
      <c r="J52" s="42">
        <f t="shared" si="7"/>
        <v>0</v>
      </c>
      <c r="K52" s="42"/>
      <c r="L52" s="42"/>
      <c r="M52" s="42"/>
      <c r="N52" s="42"/>
      <c r="O52" s="42"/>
      <c r="P52" s="42">
        <f t="shared" si="8"/>
        <v>0</v>
      </c>
      <c r="Q52" s="42">
        <f t="shared" si="9"/>
        <v>0</v>
      </c>
      <c r="R52" s="42"/>
    </row>
    <row r="53" spans="2:18" x14ac:dyDescent="0.35">
      <c r="B53" s="45"/>
      <c r="C53" s="46" t="str">
        <f t="shared" si="4"/>
        <v/>
      </c>
      <c r="D53" s="47" t="str">
        <f t="shared" si="5"/>
        <v/>
      </c>
      <c r="E53" s="46" t="str">
        <f t="shared" si="6"/>
        <v/>
      </c>
      <c r="I53" s="42"/>
      <c r="J53" s="42">
        <f t="shared" si="7"/>
        <v>0</v>
      </c>
      <c r="K53" s="42"/>
      <c r="L53" s="42"/>
      <c r="M53" s="42"/>
      <c r="N53" s="42"/>
      <c r="O53" s="42"/>
      <c r="P53" s="42">
        <f t="shared" si="8"/>
        <v>0</v>
      </c>
      <c r="Q53" s="42">
        <f t="shared" si="9"/>
        <v>0</v>
      </c>
      <c r="R53" s="42"/>
    </row>
    <row r="54" spans="2:18" x14ac:dyDescent="0.35">
      <c r="B54" s="45"/>
      <c r="C54" s="46" t="str">
        <f t="shared" si="4"/>
        <v/>
      </c>
      <c r="D54" s="47" t="str">
        <f t="shared" si="5"/>
        <v/>
      </c>
      <c r="E54" s="46" t="str">
        <f t="shared" si="6"/>
        <v/>
      </c>
      <c r="I54" s="42"/>
      <c r="J54" s="42">
        <f t="shared" si="7"/>
        <v>0</v>
      </c>
      <c r="K54" s="42"/>
      <c r="L54" s="42"/>
      <c r="M54" s="42"/>
      <c r="N54" s="42"/>
      <c r="O54" s="42"/>
      <c r="P54" s="42">
        <f t="shared" si="8"/>
        <v>0</v>
      </c>
      <c r="Q54" s="42">
        <f t="shared" si="9"/>
        <v>0</v>
      </c>
      <c r="R54" s="42"/>
    </row>
    <row r="55" spans="2:18" x14ac:dyDescent="0.35">
      <c r="B55" s="45"/>
      <c r="C55" s="46" t="str">
        <f t="shared" si="4"/>
        <v/>
      </c>
      <c r="D55" s="47" t="str">
        <f t="shared" si="5"/>
        <v/>
      </c>
      <c r="E55" s="46" t="str">
        <f t="shared" si="6"/>
        <v/>
      </c>
      <c r="I55" s="42"/>
      <c r="J55" s="42">
        <f t="shared" si="7"/>
        <v>0</v>
      </c>
      <c r="K55" s="42"/>
      <c r="L55" s="42"/>
      <c r="M55" s="42"/>
      <c r="N55" s="42"/>
      <c r="O55" s="42"/>
      <c r="P55" s="42">
        <f t="shared" si="8"/>
        <v>0</v>
      </c>
      <c r="Q55" s="42">
        <f t="shared" si="9"/>
        <v>0</v>
      </c>
      <c r="R55" s="42"/>
    </row>
    <row r="56" spans="2:18" x14ac:dyDescent="0.35">
      <c r="B56" s="45"/>
      <c r="C56" s="46" t="str">
        <f t="shared" si="4"/>
        <v/>
      </c>
      <c r="D56" s="47" t="str">
        <f t="shared" si="5"/>
        <v/>
      </c>
      <c r="E56" s="46" t="str">
        <f t="shared" si="6"/>
        <v/>
      </c>
      <c r="I56" s="42"/>
      <c r="J56" s="42">
        <f t="shared" si="7"/>
        <v>0</v>
      </c>
      <c r="K56" s="42"/>
      <c r="L56" s="42"/>
      <c r="M56" s="42"/>
      <c r="N56" s="42"/>
      <c r="O56" s="42"/>
      <c r="P56" s="42">
        <f t="shared" si="8"/>
        <v>0</v>
      </c>
      <c r="Q56" s="42">
        <f t="shared" si="9"/>
        <v>0</v>
      </c>
      <c r="R56" s="42"/>
    </row>
    <row r="57" spans="2:18" x14ac:dyDescent="0.35">
      <c r="B57" s="45"/>
      <c r="C57" s="46" t="str">
        <f t="shared" si="4"/>
        <v/>
      </c>
      <c r="D57" s="47" t="str">
        <f t="shared" si="5"/>
        <v/>
      </c>
      <c r="E57" s="46" t="str">
        <f t="shared" si="6"/>
        <v/>
      </c>
      <c r="I57" s="42"/>
      <c r="J57" s="42">
        <f t="shared" si="7"/>
        <v>0</v>
      </c>
      <c r="K57" s="42"/>
      <c r="L57" s="42"/>
      <c r="M57" s="42"/>
      <c r="N57" s="42"/>
      <c r="O57" s="42"/>
      <c r="P57" s="42">
        <f t="shared" si="8"/>
        <v>0</v>
      </c>
      <c r="Q57" s="42">
        <f t="shared" si="9"/>
        <v>0</v>
      </c>
      <c r="R57" s="42"/>
    </row>
    <row r="58" spans="2:18" x14ac:dyDescent="0.35">
      <c r="B58" s="45"/>
      <c r="C58" s="46" t="str">
        <f t="shared" si="4"/>
        <v/>
      </c>
      <c r="D58" s="47" t="str">
        <f t="shared" si="5"/>
        <v/>
      </c>
      <c r="E58" s="46" t="str">
        <f t="shared" si="6"/>
        <v/>
      </c>
      <c r="I58" s="42"/>
      <c r="J58" s="42">
        <f t="shared" si="7"/>
        <v>0</v>
      </c>
      <c r="K58" s="42"/>
      <c r="L58" s="42"/>
      <c r="M58" s="42"/>
      <c r="N58" s="42"/>
      <c r="O58" s="42"/>
      <c r="P58" s="42">
        <f t="shared" si="8"/>
        <v>0</v>
      </c>
      <c r="Q58" s="42">
        <f t="shared" si="9"/>
        <v>0</v>
      </c>
      <c r="R58" s="42"/>
    </row>
    <row r="59" spans="2:18" x14ac:dyDescent="0.35">
      <c r="B59" s="45"/>
      <c r="C59" s="46" t="str">
        <f t="shared" si="4"/>
        <v/>
      </c>
      <c r="D59" s="47" t="str">
        <f t="shared" si="5"/>
        <v/>
      </c>
      <c r="E59" s="46" t="str">
        <f t="shared" si="6"/>
        <v/>
      </c>
      <c r="I59" s="42"/>
      <c r="J59" s="42">
        <f t="shared" si="7"/>
        <v>0</v>
      </c>
      <c r="K59" s="42"/>
      <c r="L59" s="42"/>
      <c r="M59" s="42"/>
      <c r="N59" s="42"/>
      <c r="O59" s="42"/>
      <c r="P59" s="42">
        <f t="shared" si="8"/>
        <v>0</v>
      </c>
      <c r="Q59" s="42">
        <f t="shared" si="9"/>
        <v>0</v>
      </c>
      <c r="R59" s="42"/>
    </row>
    <row r="60" spans="2:18" x14ac:dyDescent="0.35">
      <c r="B60" s="45"/>
      <c r="C60" s="46" t="str">
        <f t="shared" si="4"/>
        <v/>
      </c>
      <c r="D60" s="47" t="str">
        <f t="shared" si="5"/>
        <v/>
      </c>
      <c r="E60" s="46" t="str">
        <f t="shared" si="6"/>
        <v/>
      </c>
      <c r="I60" s="42"/>
      <c r="J60" s="42">
        <f t="shared" si="7"/>
        <v>0</v>
      </c>
      <c r="K60" s="42"/>
      <c r="L60" s="42"/>
      <c r="M60" s="42"/>
      <c r="N60" s="42"/>
      <c r="O60" s="42"/>
      <c r="P60" s="42">
        <f t="shared" si="8"/>
        <v>0</v>
      </c>
      <c r="Q60" s="42">
        <f t="shared" si="9"/>
        <v>0</v>
      </c>
      <c r="R60" s="42"/>
    </row>
    <row r="61" spans="2:18" x14ac:dyDescent="0.35">
      <c r="B61" s="45"/>
      <c r="C61" s="46" t="str">
        <f t="shared" si="4"/>
        <v/>
      </c>
      <c r="D61" s="47" t="str">
        <f t="shared" si="5"/>
        <v/>
      </c>
      <c r="E61" s="46" t="str">
        <f t="shared" si="6"/>
        <v/>
      </c>
      <c r="I61" s="42"/>
      <c r="J61" s="42">
        <f t="shared" si="7"/>
        <v>0</v>
      </c>
      <c r="K61" s="42"/>
      <c r="L61" s="42"/>
      <c r="M61" s="42"/>
      <c r="N61" s="42"/>
      <c r="O61" s="42"/>
      <c r="P61" s="42">
        <f t="shared" si="8"/>
        <v>0</v>
      </c>
      <c r="Q61" s="42">
        <f t="shared" si="9"/>
        <v>0</v>
      </c>
      <c r="R61" s="42"/>
    </row>
    <row r="62" spans="2:18" x14ac:dyDescent="0.35">
      <c r="B62" s="45"/>
      <c r="C62" s="46" t="str">
        <f t="shared" si="4"/>
        <v/>
      </c>
      <c r="D62" s="47" t="str">
        <f t="shared" si="5"/>
        <v/>
      </c>
      <c r="E62" s="46" t="str">
        <f t="shared" si="6"/>
        <v/>
      </c>
      <c r="I62" s="42"/>
      <c r="J62" s="42">
        <f t="shared" si="7"/>
        <v>0</v>
      </c>
      <c r="K62" s="42"/>
      <c r="L62" s="42"/>
      <c r="M62" s="42"/>
      <c r="N62" s="42"/>
      <c r="O62" s="42"/>
      <c r="P62" s="42">
        <f t="shared" si="8"/>
        <v>0</v>
      </c>
      <c r="Q62" s="42">
        <f t="shared" si="9"/>
        <v>0</v>
      </c>
      <c r="R62" s="42"/>
    </row>
    <row r="63" spans="2:18" x14ac:dyDescent="0.35">
      <c r="B63" s="45"/>
      <c r="C63" s="46" t="str">
        <f t="shared" si="4"/>
        <v/>
      </c>
      <c r="D63" s="47" t="str">
        <f t="shared" si="5"/>
        <v/>
      </c>
      <c r="E63" s="46" t="str">
        <f t="shared" si="6"/>
        <v/>
      </c>
      <c r="I63" s="42"/>
      <c r="J63" s="42">
        <f t="shared" si="7"/>
        <v>0</v>
      </c>
      <c r="K63" s="42"/>
      <c r="L63" s="42"/>
      <c r="M63" s="42"/>
      <c r="N63" s="42"/>
      <c r="O63" s="42"/>
      <c r="P63" s="42">
        <f t="shared" si="8"/>
        <v>0</v>
      </c>
      <c r="Q63" s="42">
        <f t="shared" si="9"/>
        <v>0</v>
      </c>
      <c r="R63" s="42"/>
    </row>
    <row r="64" spans="2:18" x14ac:dyDescent="0.35">
      <c r="B64" s="45"/>
      <c r="C64" s="46" t="str">
        <f t="shared" si="4"/>
        <v/>
      </c>
      <c r="D64" s="47" t="str">
        <f t="shared" si="5"/>
        <v/>
      </c>
      <c r="E64" s="46" t="str">
        <f t="shared" si="6"/>
        <v/>
      </c>
      <c r="I64" s="42"/>
      <c r="J64" s="42">
        <f t="shared" si="7"/>
        <v>0</v>
      </c>
      <c r="K64" s="42"/>
      <c r="L64" s="42"/>
      <c r="M64" s="42"/>
      <c r="N64" s="42"/>
      <c r="O64" s="42"/>
      <c r="P64" s="42">
        <f t="shared" si="8"/>
        <v>0</v>
      </c>
      <c r="Q64" s="42">
        <f t="shared" si="9"/>
        <v>0</v>
      </c>
      <c r="R64" s="42"/>
    </row>
    <row r="65" spans="2:18" x14ac:dyDescent="0.35">
      <c r="B65" s="45"/>
      <c r="C65" s="46" t="str">
        <f t="shared" si="4"/>
        <v/>
      </c>
      <c r="D65" s="47" t="str">
        <f t="shared" si="5"/>
        <v/>
      </c>
      <c r="E65" s="46" t="str">
        <f t="shared" si="6"/>
        <v/>
      </c>
      <c r="I65" s="42"/>
      <c r="J65" s="42">
        <f t="shared" si="7"/>
        <v>0</v>
      </c>
      <c r="K65" s="42"/>
      <c r="L65" s="42"/>
      <c r="M65" s="42"/>
      <c r="N65" s="42"/>
      <c r="O65" s="42"/>
      <c r="P65" s="42">
        <f t="shared" si="8"/>
        <v>0</v>
      </c>
      <c r="Q65" s="42">
        <f t="shared" si="9"/>
        <v>0</v>
      </c>
      <c r="R65" s="42"/>
    </row>
    <row r="66" spans="2:18" x14ac:dyDescent="0.35">
      <c r="B66" s="45"/>
      <c r="C66" s="46" t="str">
        <f t="shared" si="4"/>
        <v/>
      </c>
      <c r="D66" s="47" t="str">
        <f t="shared" si="5"/>
        <v/>
      </c>
      <c r="E66" s="46" t="str">
        <f t="shared" si="6"/>
        <v/>
      </c>
      <c r="I66" s="42"/>
      <c r="J66" s="42">
        <f t="shared" si="7"/>
        <v>0</v>
      </c>
      <c r="K66" s="42"/>
      <c r="L66" s="42"/>
      <c r="M66" s="42"/>
      <c r="N66" s="42"/>
      <c r="O66" s="42"/>
      <c r="P66" s="42">
        <f t="shared" si="8"/>
        <v>0</v>
      </c>
      <c r="Q66" s="42">
        <f t="shared" si="9"/>
        <v>0</v>
      </c>
      <c r="R66" s="42"/>
    </row>
    <row r="67" spans="2:18" x14ac:dyDescent="0.35">
      <c r="B67" s="45"/>
      <c r="C67" s="46" t="str">
        <f t="shared" ref="C67:C130" si="10">IF($B67="","",_xlfn.ISOWEEKNUM($B67))</f>
        <v/>
      </c>
      <c r="D67" s="47" t="str">
        <f t="shared" ref="D67:D130" si="11">IF($B67="","",CHOOSE(MONTH($B67),"Enero","Febrero","Marzo","Abril","Mayo","Junio","Julio","Agosto","Septiembre","Octubre","Noviembre","Diciembre"))</f>
        <v/>
      </c>
      <c r="E67" s="46" t="str">
        <f t="shared" ref="E67:E130" si="12">IF($B67="","",MONTH($B67))</f>
        <v/>
      </c>
      <c r="I67" s="42"/>
      <c r="J67" s="42">
        <f t="shared" si="7"/>
        <v>0</v>
      </c>
      <c r="K67" s="42"/>
      <c r="L67" s="42"/>
      <c r="M67" s="42"/>
      <c r="N67" s="42"/>
      <c r="O67" s="42"/>
      <c r="P67" s="42">
        <f t="shared" si="8"/>
        <v>0</v>
      </c>
      <c r="Q67" s="42">
        <f t="shared" si="9"/>
        <v>0</v>
      </c>
      <c r="R67" s="42"/>
    </row>
    <row r="68" spans="2:18" x14ac:dyDescent="0.35">
      <c r="B68" s="45"/>
      <c r="C68" s="46" t="str">
        <f t="shared" si="10"/>
        <v/>
      </c>
      <c r="D68" s="47" t="str">
        <f t="shared" si="11"/>
        <v/>
      </c>
      <c r="E68" s="46" t="str">
        <f t="shared" si="12"/>
        <v/>
      </c>
      <c r="I68" s="42"/>
      <c r="J68" s="42">
        <f t="shared" si="7"/>
        <v>0</v>
      </c>
      <c r="K68" s="42"/>
      <c r="L68" s="42"/>
      <c r="M68" s="42"/>
      <c r="N68" s="42"/>
      <c r="O68" s="42"/>
      <c r="P68" s="42">
        <f t="shared" si="8"/>
        <v>0</v>
      </c>
      <c r="Q68" s="42">
        <f t="shared" si="9"/>
        <v>0</v>
      </c>
      <c r="R68" s="42"/>
    </row>
    <row r="69" spans="2:18" x14ac:dyDescent="0.35">
      <c r="B69" s="45"/>
      <c r="C69" s="46" t="str">
        <f t="shared" si="10"/>
        <v/>
      </c>
      <c r="D69" s="47" t="str">
        <f t="shared" si="11"/>
        <v/>
      </c>
      <c r="E69" s="46" t="str">
        <f t="shared" si="12"/>
        <v/>
      </c>
      <c r="I69" s="42"/>
      <c r="J69" s="42">
        <f t="shared" si="7"/>
        <v>0</v>
      </c>
      <c r="K69" s="42"/>
      <c r="L69" s="42"/>
      <c r="M69" s="42"/>
      <c r="N69" s="42"/>
      <c r="O69" s="42"/>
      <c r="P69" s="42">
        <f t="shared" si="8"/>
        <v>0</v>
      </c>
      <c r="Q69" s="42">
        <f t="shared" si="9"/>
        <v>0</v>
      </c>
      <c r="R69" s="42"/>
    </row>
    <row r="70" spans="2:18" x14ac:dyDescent="0.35">
      <c r="B70" s="45"/>
      <c r="C70" s="46" t="str">
        <f t="shared" si="10"/>
        <v/>
      </c>
      <c r="D70" s="47" t="str">
        <f t="shared" si="11"/>
        <v/>
      </c>
      <c r="E70" s="46" t="str">
        <f t="shared" si="12"/>
        <v/>
      </c>
      <c r="I70" s="42"/>
      <c r="J70" s="42">
        <f t="shared" si="7"/>
        <v>0</v>
      </c>
      <c r="K70" s="42"/>
      <c r="L70" s="42"/>
      <c r="M70" s="42"/>
      <c r="N70" s="42"/>
      <c r="O70" s="42"/>
      <c r="P70" s="42">
        <f t="shared" si="8"/>
        <v>0</v>
      </c>
      <c r="Q70" s="42">
        <f t="shared" si="9"/>
        <v>0</v>
      </c>
      <c r="R70" s="42"/>
    </row>
    <row r="71" spans="2:18" x14ac:dyDescent="0.35">
      <c r="B71" s="45"/>
      <c r="C71" s="46" t="str">
        <f t="shared" si="10"/>
        <v/>
      </c>
      <c r="D71" s="47" t="str">
        <f t="shared" si="11"/>
        <v/>
      </c>
      <c r="E71" s="46" t="str">
        <f t="shared" si="12"/>
        <v/>
      </c>
      <c r="I71" s="42"/>
      <c r="J71" s="42">
        <f t="shared" si="7"/>
        <v>0</v>
      </c>
      <c r="K71" s="42"/>
      <c r="L71" s="42"/>
      <c r="M71" s="42"/>
      <c r="N71" s="42"/>
      <c r="O71" s="42"/>
      <c r="P71" s="42">
        <f t="shared" si="8"/>
        <v>0</v>
      </c>
      <c r="Q71" s="42">
        <f t="shared" si="9"/>
        <v>0</v>
      </c>
      <c r="R71" s="42"/>
    </row>
    <row r="72" spans="2:18" x14ac:dyDescent="0.35">
      <c r="B72" s="45"/>
      <c r="C72" s="46" t="str">
        <f t="shared" si="10"/>
        <v/>
      </c>
      <c r="D72" s="47" t="str">
        <f t="shared" si="11"/>
        <v/>
      </c>
      <c r="E72" s="46" t="str">
        <f t="shared" si="12"/>
        <v/>
      </c>
      <c r="I72" s="42"/>
      <c r="J72" s="42">
        <f t="shared" si="7"/>
        <v>0</v>
      </c>
      <c r="K72" s="42"/>
      <c r="L72" s="42"/>
      <c r="M72" s="42"/>
      <c r="N72" s="42"/>
      <c r="O72" s="42"/>
      <c r="P72" s="42">
        <f t="shared" si="8"/>
        <v>0</v>
      </c>
      <c r="Q72" s="42">
        <f t="shared" si="9"/>
        <v>0</v>
      </c>
      <c r="R72" s="42"/>
    </row>
    <row r="73" spans="2:18" x14ac:dyDescent="0.35">
      <c r="B73" s="45"/>
      <c r="C73" s="46" t="str">
        <f t="shared" si="10"/>
        <v/>
      </c>
      <c r="D73" s="47" t="str">
        <f t="shared" si="11"/>
        <v/>
      </c>
      <c r="E73" s="46" t="str">
        <f t="shared" si="12"/>
        <v/>
      </c>
      <c r="I73" s="42"/>
      <c r="J73" s="42">
        <f t="shared" si="7"/>
        <v>0</v>
      </c>
      <c r="K73" s="42"/>
      <c r="L73" s="42"/>
      <c r="M73" s="42"/>
      <c r="N73" s="42"/>
      <c r="O73" s="42"/>
      <c r="P73" s="42">
        <f t="shared" si="8"/>
        <v>0</v>
      </c>
      <c r="Q73" s="42">
        <f t="shared" si="9"/>
        <v>0</v>
      </c>
      <c r="R73" s="42"/>
    </row>
    <row r="74" spans="2:18" x14ac:dyDescent="0.35">
      <c r="B74" s="45"/>
      <c r="C74" s="46" t="str">
        <f t="shared" si="10"/>
        <v/>
      </c>
      <c r="D74" s="47" t="str">
        <f t="shared" si="11"/>
        <v/>
      </c>
      <c r="E74" s="46" t="str">
        <f t="shared" si="12"/>
        <v/>
      </c>
      <c r="I74" s="42"/>
      <c r="J74" s="42">
        <f t="shared" si="7"/>
        <v>0</v>
      </c>
      <c r="K74" s="42"/>
      <c r="L74" s="42"/>
      <c r="M74" s="42"/>
      <c r="N74" s="42"/>
      <c r="O74" s="42"/>
      <c r="P74" s="42">
        <f t="shared" si="8"/>
        <v>0</v>
      </c>
      <c r="Q74" s="42">
        <f t="shared" si="9"/>
        <v>0</v>
      </c>
      <c r="R74" s="42"/>
    </row>
    <row r="75" spans="2:18" x14ac:dyDescent="0.35">
      <c r="B75" s="45"/>
      <c r="C75" s="46" t="str">
        <f t="shared" si="10"/>
        <v/>
      </c>
      <c r="D75" s="47" t="str">
        <f t="shared" si="11"/>
        <v/>
      </c>
      <c r="E75" s="46" t="str">
        <f t="shared" si="12"/>
        <v/>
      </c>
      <c r="I75" s="42"/>
      <c r="J75" s="42">
        <f t="shared" si="7"/>
        <v>0</v>
      </c>
      <c r="K75" s="42"/>
      <c r="L75" s="42"/>
      <c r="M75" s="42"/>
      <c r="N75" s="42"/>
      <c r="O75" s="42"/>
      <c r="P75" s="42">
        <f t="shared" si="8"/>
        <v>0</v>
      </c>
      <c r="Q75" s="42">
        <f t="shared" si="9"/>
        <v>0</v>
      </c>
      <c r="R75" s="42"/>
    </row>
    <row r="76" spans="2:18" x14ac:dyDescent="0.35">
      <c r="B76" s="45"/>
      <c r="C76" s="46" t="str">
        <f t="shared" si="10"/>
        <v/>
      </c>
      <c r="D76" s="47" t="str">
        <f t="shared" si="11"/>
        <v/>
      </c>
      <c r="E76" s="46" t="str">
        <f t="shared" si="12"/>
        <v/>
      </c>
      <c r="I76" s="42"/>
      <c r="J76" s="42">
        <f t="shared" si="7"/>
        <v>0</v>
      </c>
      <c r="K76" s="42"/>
      <c r="L76" s="42"/>
      <c r="M76" s="42"/>
      <c r="N76" s="42"/>
      <c r="O76" s="42"/>
      <c r="P76" s="42">
        <f t="shared" si="8"/>
        <v>0</v>
      </c>
      <c r="Q76" s="42">
        <f t="shared" si="9"/>
        <v>0</v>
      </c>
      <c r="R76" s="42"/>
    </row>
    <row r="77" spans="2:18" x14ac:dyDescent="0.35">
      <c r="B77" s="45"/>
      <c r="C77" s="46" t="str">
        <f t="shared" si="10"/>
        <v/>
      </c>
      <c r="D77" s="47" t="str">
        <f t="shared" si="11"/>
        <v/>
      </c>
      <c r="E77" s="46" t="str">
        <f t="shared" si="12"/>
        <v/>
      </c>
      <c r="I77" s="42"/>
      <c r="J77" s="42">
        <f t="shared" si="7"/>
        <v>0</v>
      </c>
      <c r="K77" s="42"/>
      <c r="L77" s="42"/>
      <c r="M77" s="42"/>
      <c r="N77" s="42"/>
      <c r="O77" s="42"/>
      <c r="P77" s="42">
        <f t="shared" si="8"/>
        <v>0</v>
      </c>
      <c r="Q77" s="42">
        <f t="shared" si="9"/>
        <v>0</v>
      </c>
      <c r="R77" s="42"/>
    </row>
    <row r="78" spans="2:18" x14ac:dyDescent="0.35">
      <c r="B78" s="45"/>
      <c r="C78" s="46" t="str">
        <f t="shared" si="10"/>
        <v/>
      </c>
      <c r="D78" s="47" t="str">
        <f t="shared" si="11"/>
        <v/>
      </c>
      <c r="E78" s="46" t="str">
        <f t="shared" si="12"/>
        <v/>
      </c>
      <c r="I78" s="42"/>
      <c r="J78" s="42">
        <f t="shared" si="7"/>
        <v>0</v>
      </c>
      <c r="K78" s="42"/>
      <c r="L78" s="42"/>
      <c r="M78" s="42"/>
      <c r="N78" s="42"/>
      <c r="O78" s="42"/>
      <c r="P78" s="42">
        <f t="shared" si="8"/>
        <v>0</v>
      </c>
      <c r="Q78" s="42">
        <f t="shared" si="9"/>
        <v>0</v>
      </c>
      <c r="R78" s="42"/>
    </row>
    <row r="79" spans="2:18" x14ac:dyDescent="0.35">
      <c r="B79" s="45"/>
      <c r="C79" s="46" t="str">
        <f t="shared" si="10"/>
        <v/>
      </c>
      <c r="D79" s="47" t="str">
        <f t="shared" si="11"/>
        <v/>
      </c>
      <c r="E79" s="46" t="str">
        <f t="shared" si="12"/>
        <v/>
      </c>
      <c r="I79" s="42"/>
      <c r="J79" s="42">
        <f t="shared" si="7"/>
        <v>0</v>
      </c>
      <c r="K79" s="42"/>
      <c r="L79" s="42"/>
      <c r="M79" s="42"/>
      <c r="N79" s="42"/>
      <c r="O79" s="42"/>
      <c r="P79" s="42">
        <f t="shared" si="8"/>
        <v>0</v>
      </c>
      <c r="Q79" s="42">
        <f t="shared" si="9"/>
        <v>0</v>
      </c>
      <c r="R79" s="42"/>
    </row>
    <row r="80" spans="2:18" x14ac:dyDescent="0.35">
      <c r="B80" s="45"/>
      <c r="C80" s="46" t="str">
        <f t="shared" si="10"/>
        <v/>
      </c>
      <c r="D80" s="47" t="str">
        <f t="shared" si="11"/>
        <v/>
      </c>
      <c r="E80" s="46" t="str">
        <f t="shared" si="12"/>
        <v/>
      </c>
      <c r="I80" s="42"/>
      <c r="J80" s="42">
        <f t="shared" si="7"/>
        <v>0</v>
      </c>
      <c r="K80" s="42"/>
      <c r="L80" s="42"/>
      <c r="M80" s="42"/>
      <c r="N80" s="42"/>
      <c r="O80" s="42"/>
      <c r="P80" s="42">
        <f t="shared" si="8"/>
        <v>0</v>
      </c>
      <c r="Q80" s="42">
        <f t="shared" si="9"/>
        <v>0</v>
      </c>
      <c r="R80" s="42"/>
    </row>
    <row r="81" spans="2:18" x14ac:dyDescent="0.35">
      <c r="B81" s="45"/>
      <c r="C81" s="46" t="str">
        <f t="shared" si="10"/>
        <v/>
      </c>
      <c r="D81" s="47" t="str">
        <f t="shared" si="11"/>
        <v/>
      </c>
      <c r="E81" s="46" t="str">
        <f t="shared" si="12"/>
        <v/>
      </c>
      <c r="I81" s="42"/>
      <c r="J81" s="42">
        <f t="shared" si="7"/>
        <v>0</v>
      </c>
      <c r="K81" s="42"/>
      <c r="L81" s="42"/>
      <c r="M81" s="42"/>
      <c r="N81" s="42"/>
      <c r="O81" s="42"/>
      <c r="P81" s="42">
        <f t="shared" si="8"/>
        <v>0</v>
      </c>
      <c r="Q81" s="42">
        <f t="shared" si="9"/>
        <v>0</v>
      </c>
      <c r="R81" s="42"/>
    </row>
    <row r="82" spans="2:18" x14ac:dyDescent="0.35">
      <c r="B82" s="45"/>
      <c r="C82" s="46" t="str">
        <f t="shared" si="10"/>
        <v/>
      </c>
      <c r="D82" s="47" t="str">
        <f t="shared" si="11"/>
        <v/>
      </c>
      <c r="E82" s="46" t="str">
        <f t="shared" si="12"/>
        <v/>
      </c>
      <c r="I82" s="42"/>
      <c r="J82" s="42">
        <f t="shared" si="7"/>
        <v>0</v>
      </c>
      <c r="K82" s="42"/>
      <c r="L82" s="42"/>
      <c r="M82" s="42"/>
      <c r="N82" s="42"/>
      <c r="O82" s="42"/>
      <c r="P82" s="42">
        <f t="shared" si="8"/>
        <v>0</v>
      </c>
      <c r="Q82" s="42">
        <f t="shared" si="9"/>
        <v>0</v>
      </c>
      <c r="R82" s="42"/>
    </row>
    <row r="83" spans="2:18" x14ac:dyDescent="0.35">
      <c r="B83" s="45"/>
      <c r="C83" s="46" t="str">
        <f t="shared" si="10"/>
        <v/>
      </c>
      <c r="D83" s="47" t="str">
        <f t="shared" si="11"/>
        <v/>
      </c>
      <c r="E83" s="46" t="str">
        <f t="shared" si="12"/>
        <v/>
      </c>
      <c r="I83" s="42"/>
      <c r="J83" s="42">
        <f t="shared" si="7"/>
        <v>0</v>
      </c>
      <c r="K83" s="42"/>
      <c r="L83" s="42"/>
      <c r="M83" s="42"/>
      <c r="N83" s="42"/>
      <c r="O83" s="42"/>
      <c r="P83" s="42">
        <f t="shared" si="8"/>
        <v>0</v>
      </c>
      <c r="Q83" s="42">
        <f t="shared" si="9"/>
        <v>0</v>
      </c>
      <c r="R83" s="42"/>
    </row>
    <row r="84" spans="2:18" x14ac:dyDescent="0.35">
      <c r="B84" s="45"/>
      <c r="C84" s="46" t="str">
        <f t="shared" si="10"/>
        <v/>
      </c>
      <c r="D84" s="47" t="str">
        <f t="shared" si="11"/>
        <v/>
      </c>
      <c r="E84" s="46" t="str">
        <f t="shared" si="12"/>
        <v/>
      </c>
      <c r="I84" s="42"/>
      <c r="J84" s="42">
        <f t="shared" si="7"/>
        <v>0</v>
      </c>
      <c r="K84" s="42"/>
      <c r="L84" s="42"/>
      <c r="M84" s="42"/>
      <c r="N84" s="42"/>
      <c r="O84" s="42"/>
      <c r="P84" s="42">
        <f t="shared" si="8"/>
        <v>0</v>
      </c>
      <c r="Q84" s="42">
        <f t="shared" si="9"/>
        <v>0</v>
      </c>
      <c r="R84" s="42"/>
    </row>
    <row r="85" spans="2:18" x14ac:dyDescent="0.35">
      <c r="B85" s="45"/>
      <c r="C85" s="46" t="str">
        <f t="shared" si="10"/>
        <v/>
      </c>
      <c r="D85" s="47" t="str">
        <f t="shared" si="11"/>
        <v/>
      </c>
      <c r="E85" s="46" t="str">
        <f t="shared" si="12"/>
        <v/>
      </c>
      <c r="I85" s="42"/>
      <c r="J85" s="42">
        <f t="shared" si="7"/>
        <v>0</v>
      </c>
      <c r="K85" s="42"/>
      <c r="L85" s="42"/>
      <c r="M85" s="42"/>
      <c r="N85" s="42"/>
      <c r="O85" s="42"/>
      <c r="P85" s="42">
        <f t="shared" si="8"/>
        <v>0</v>
      </c>
      <c r="Q85" s="42">
        <f t="shared" si="9"/>
        <v>0</v>
      </c>
      <c r="R85" s="42"/>
    </row>
    <row r="86" spans="2:18" x14ac:dyDescent="0.35">
      <c r="B86" s="45"/>
      <c r="C86" s="46" t="str">
        <f t="shared" si="10"/>
        <v/>
      </c>
      <c r="D86" s="47" t="str">
        <f t="shared" si="11"/>
        <v/>
      </c>
      <c r="E86" s="46" t="str">
        <f t="shared" si="12"/>
        <v/>
      </c>
      <c r="I86" s="42"/>
      <c r="J86" s="42">
        <f t="shared" si="7"/>
        <v>0</v>
      </c>
      <c r="K86" s="42"/>
      <c r="L86" s="42"/>
      <c r="M86" s="42"/>
      <c r="N86" s="42"/>
      <c r="O86" s="42"/>
      <c r="P86" s="42">
        <f t="shared" si="8"/>
        <v>0</v>
      </c>
      <c r="Q86" s="42">
        <f t="shared" si="9"/>
        <v>0</v>
      </c>
      <c r="R86" s="42"/>
    </row>
    <row r="87" spans="2:18" x14ac:dyDescent="0.35">
      <c r="B87" s="45"/>
      <c r="C87" s="46" t="str">
        <f t="shared" si="10"/>
        <v/>
      </c>
      <c r="D87" s="47" t="str">
        <f t="shared" si="11"/>
        <v/>
      </c>
      <c r="E87" s="46" t="str">
        <f t="shared" si="12"/>
        <v/>
      </c>
      <c r="I87" s="42"/>
      <c r="J87" s="42">
        <f t="shared" si="7"/>
        <v>0</v>
      </c>
      <c r="K87" s="42"/>
      <c r="L87" s="42"/>
      <c r="M87" s="42"/>
      <c r="N87" s="42"/>
      <c r="O87" s="42"/>
      <c r="P87" s="42">
        <f t="shared" si="8"/>
        <v>0</v>
      </c>
      <c r="Q87" s="42">
        <f t="shared" si="9"/>
        <v>0</v>
      </c>
      <c r="R87" s="42"/>
    </row>
    <row r="88" spans="2:18" x14ac:dyDescent="0.35">
      <c r="B88" s="45"/>
      <c r="C88" s="46" t="str">
        <f t="shared" si="10"/>
        <v/>
      </c>
      <c r="D88" s="47" t="str">
        <f t="shared" si="11"/>
        <v/>
      </c>
      <c r="E88" s="46" t="str">
        <f t="shared" si="12"/>
        <v/>
      </c>
      <c r="I88" s="42"/>
      <c r="J88" s="42">
        <f t="shared" si="7"/>
        <v>0</v>
      </c>
      <c r="K88" s="42"/>
      <c r="L88" s="42"/>
      <c r="M88" s="42"/>
      <c r="N88" s="42"/>
      <c r="O88" s="42"/>
      <c r="P88" s="42">
        <f t="shared" si="8"/>
        <v>0</v>
      </c>
      <c r="Q88" s="42">
        <f t="shared" si="9"/>
        <v>0</v>
      </c>
      <c r="R88" s="42"/>
    </row>
    <row r="89" spans="2:18" x14ac:dyDescent="0.35">
      <c r="B89" s="45"/>
      <c r="C89" s="46" t="str">
        <f t="shared" si="10"/>
        <v/>
      </c>
      <c r="D89" s="47" t="str">
        <f t="shared" si="11"/>
        <v/>
      </c>
      <c r="E89" s="46" t="str">
        <f t="shared" si="12"/>
        <v/>
      </c>
      <c r="I89" s="42"/>
      <c r="J89" s="42">
        <f t="shared" si="7"/>
        <v>0</v>
      </c>
      <c r="K89" s="42"/>
      <c r="L89" s="42"/>
      <c r="M89" s="42"/>
      <c r="N89" s="42"/>
      <c r="O89" s="42"/>
      <c r="P89" s="42">
        <f t="shared" si="8"/>
        <v>0</v>
      </c>
      <c r="Q89" s="42">
        <f t="shared" si="9"/>
        <v>0</v>
      </c>
      <c r="R89" s="42"/>
    </row>
    <row r="90" spans="2:18" x14ac:dyDescent="0.35">
      <c r="B90" s="45"/>
      <c r="C90" s="46" t="str">
        <f t="shared" si="10"/>
        <v/>
      </c>
      <c r="D90" s="47" t="str">
        <f t="shared" si="11"/>
        <v/>
      </c>
      <c r="E90" s="46" t="str">
        <f t="shared" si="12"/>
        <v/>
      </c>
      <c r="I90" s="42"/>
      <c r="J90" s="42">
        <f t="shared" si="7"/>
        <v>0</v>
      </c>
      <c r="K90" s="42"/>
      <c r="L90" s="42"/>
      <c r="M90" s="42"/>
      <c r="N90" s="42"/>
      <c r="O90" s="42"/>
      <c r="P90" s="42">
        <f t="shared" si="8"/>
        <v>0</v>
      </c>
      <c r="Q90" s="42">
        <f t="shared" si="9"/>
        <v>0</v>
      </c>
      <c r="R90" s="42"/>
    </row>
    <row r="91" spans="2:18" x14ac:dyDescent="0.35">
      <c r="B91" s="45"/>
      <c r="C91" s="46" t="str">
        <f t="shared" si="10"/>
        <v/>
      </c>
      <c r="D91" s="47" t="str">
        <f t="shared" si="11"/>
        <v/>
      </c>
      <c r="E91" s="46" t="str">
        <f t="shared" si="12"/>
        <v/>
      </c>
      <c r="I91" s="42"/>
      <c r="J91" s="42">
        <f t="shared" si="7"/>
        <v>0</v>
      </c>
      <c r="K91" s="42"/>
      <c r="L91" s="42"/>
      <c r="M91" s="42"/>
      <c r="N91" s="42"/>
      <c r="O91" s="42"/>
      <c r="P91" s="42">
        <f t="shared" si="8"/>
        <v>0</v>
      </c>
      <c r="Q91" s="42">
        <f t="shared" si="9"/>
        <v>0</v>
      </c>
      <c r="R91" s="42"/>
    </row>
    <row r="92" spans="2:18" x14ac:dyDescent="0.35">
      <c r="B92" s="45"/>
      <c r="C92" s="46" t="str">
        <f t="shared" si="10"/>
        <v/>
      </c>
      <c r="D92" s="47" t="str">
        <f t="shared" si="11"/>
        <v/>
      </c>
      <c r="E92" s="46" t="str">
        <f t="shared" si="12"/>
        <v/>
      </c>
      <c r="I92" s="42"/>
      <c r="J92" s="42">
        <f t="shared" si="7"/>
        <v>0</v>
      </c>
      <c r="K92" s="42"/>
      <c r="L92" s="42"/>
      <c r="M92" s="42"/>
      <c r="N92" s="42"/>
      <c r="O92" s="42"/>
      <c r="P92" s="42">
        <f t="shared" si="8"/>
        <v>0</v>
      </c>
      <c r="Q92" s="42">
        <f t="shared" si="9"/>
        <v>0</v>
      </c>
      <c r="R92" s="42"/>
    </row>
    <row r="93" spans="2:18" x14ac:dyDescent="0.35">
      <c r="B93" s="45"/>
      <c r="C93" s="46" t="str">
        <f t="shared" si="10"/>
        <v/>
      </c>
      <c r="D93" s="47" t="str">
        <f t="shared" si="11"/>
        <v/>
      </c>
      <c r="E93" s="46" t="str">
        <f t="shared" si="12"/>
        <v/>
      </c>
      <c r="I93" s="42"/>
      <c r="J93" s="42">
        <f t="shared" si="7"/>
        <v>0</v>
      </c>
      <c r="K93" s="42"/>
      <c r="L93" s="42"/>
      <c r="M93" s="42"/>
      <c r="N93" s="42"/>
      <c r="O93" s="42"/>
      <c r="P93" s="42">
        <f t="shared" si="8"/>
        <v>0</v>
      </c>
      <c r="Q93" s="42">
        <f t="shared" si="9"/>
        <v>0</v>
      </c>
      <c r="R93" s="42"/>
    </row>
    <row r="94" spans="2:18" x14ac:dyDescent="0.35">
      <c r="B94" s="45"/>
      <c r="C94" s="46" t="str">
        <f t="shared" si="10"/>
        <v/>
      </c>
      <c r="D94" s="47" t="str">
        <f t="shared" si="11"/>
        <v/>
      </c>
      <c r="E94" s="46" t="str">
        <f t="shared" si="12"/>
        <v/>
      </c>
      <c r="I94" s="42"/>
      <c r="J94" s="42">
        <f t="shared" si="7"/>
        <v>0</v>
      </c>
      <c r="K94" s="42"/>
      <c r="L94" s="42"/>
      <c r="M94" s="42"/>
      <c r="N94" s="42"/>
      <c r="O94" s="42"/>
      <c r="P94" s="42">
        <f t="shared" si="8"/>
        <v>0</v>
      </c>
      <c r="Q94" s="42">
        <f t="shared" si="9"/>
        <v>0</v>
      </c>
      <c r="R94" s="42"/>
    </row>
    <row r="95" spans="2:18" x14ac:dyDescent="0.35">
      <c r="B95" s="45"/>
      <c r="C95" s="46" t="str">
        <f t="shared" si="10"/>
        <v/>
      </c>
      <c r="D95" s="47" t="str">
        <f t="shared" si="11"/>
        <v/>
      </c>
      <c r="E95" s="46" t="str">
        <f t="shared" si="12"/>
        <v/>
      </c>
      <c r="I95" s="42"/>
      <c r="J95" s="42">
        <f t="shared" si="7"/>
        <v>0</v>
      </c>
      <c r="K95" s="42"/>
      <c r="L95" s="42"/>
      <c r="M95" s="42"/>
      <c r="N95" s="42"/>
      <c r="O95" s="42"/>
      <c r="P95" s="42">
        <f t="shared" si="8"/>
        <v>0</v>
      </c>
      <c r="Q95" s="42">
        <f t="shared" si="9"/>
        <v>0</v>
      </c>
      <c r="R95" s="42"/>
    </row>
    <row r="96" spans="2:18" x14ac:dyDescent="0.35">
      <c r="B96" s="45"/>
      <c r="C96" s="46" t="str">
        <f t="shared" si="10"/>
        <v/>
      </c>
      <c r="D96" s="47" t="str">
        <f t="shared" si="11"/>
        <v/>
      </c>
      <c r="E96" s="46" t="str">
        <f t="shared" si="12"/>
        <v/>
      </c>
      <c r="I96" s="42"/>
      <c r="J96" s="42">
        <f t="shared" si="7"/>
        <v>0</v>
      </c>
      <c r="K96" s="42"/>
      <c r="L96" s="42"/>
      <c r="M96" s="42"/>
      <c r="N96" s="42"/>
      <c r="O96" s="42"/>
      <c r="P96" s="42">
        <f t="shared" si="8"/>
        <v>0</v>
      </c>
      <c r="Q96" s="42">
        <f t="shared" si="9"/>
        <v>0</v>
      </c>
      <c r="R96" s="42"/>
    </row>
    <row r="97" spans="2:18" x14ac:dyDescent="0.35">
      <c r="B97" s="45"/>
      <c r="C97" s="46" t="str">
        <f t="shared" si="10"/>
        <v/>
      </c>
      <c r="D97" s="47" t="str">
        <f t="shared" si="11"/>
        <v/>
      </c>
      <c r="E97" s="46" t="str">
        <f t="shared" si="12"/>
        <v/>
      </c>
      <c r="I97" s="42"/>
      <c r="J97" s="42">
        <f t="shared" si="7"/>
        <v>0</v>
      </c>
      <c r="K97" s="42"/>
      <c r="L97" s="42"/>
      <c r="M97" s="42"/>
      <c r="N97" s="42"/>
      <c r="O97" s="42"/>
      <c r="P97" s="42">
        <f t="shared" si="8"/>
        <v>0</v>
      </c>
      <c r="Q97" s="42">
        <f t="shared" si="9"/>
        <v>0</v>
      </c>
      <c r="R97" s="42"/>
    </row>
    <row r="98" spans="2:18" x14ac:dyDescent="0.35">
      <c r="B98" s="45"/>
      <c r="C98" s="46" t="str">
        <f t="shared" si="10"/>
        <v/>
      </c>
      <c r="D98" s="47" t="str">
        <f t="shared" si="11"/>
        <v/>
      </c>
      <c r="E98" s="46" t="str">
        <f t="shared" si="12"/>
        <v/>
      </c>
      <c r="I98" s="42"/>
      <c r="J98" s="42">
        <f t="shared" si="7"/>
        <v>0</v>
      </c>
      <c r="K98" s="42"/>
      <c r="L98" s="42"/>
      <c r="M98" s="42"/>
      <c r="N98" s="42"/>
      <c r="O98" s="42"/>
      <c r="P98" s="42">
        <f t="shared" si="8"/>
        <v>0</v>
      </c>
      <c r="Q98" s="42">
        <f t="shared" si="9"/>
        <v>0</v>
      </c>
      <c r="R98" s="42"/>
    </row>
    <row r="99" spans="2:18" x14ac:dyDescent="0.35">
      <c r="B99" s="45"/>
      <c r="C99" s="46" t="str">
        <f t="shared" si="10"/>
        <v/>
      </c>
      <c r="D99" s="47" t="str">
        <f t="shared" si="11"/>
        <v/>
      </c>
      <c r="E99" s="46" t="str">
        <f t="shared" si="12"/>
        <v/>
      </c>
      <c r="I99" s="42"/>
      <c r="J99" s="42">
        <f t="shared" ref="J99:J162" si="13">SUM(K99:O99)</f>
        <v>0</v>
      </c>
      <c r="K99" s="42"/>
      <c r="L99" s="42"/>
      <c r="M99" s="42"/>
      <c r="N99" s="42"/>
      <c r="O99" s="42"/>
      <c r="P99" s="42">
        <f t="shared" ref="P99:P162" si="14">IF(I99&gt;0,SUM(K99:N99)/I99,0)</f>
        <v>0</v>
      </c>
      <c r="Q99" s="42">
        <f t="shared" ref="Q99:Q162" si="15">IF(I99&gt;0,O99/I99,0)</f>
        <v>0</v>
      </c>
      <c r="R99" s="42"/>
    </row>
    <row r="100" spans="2:18" x14ac:dyDescent="0.35">
      <c r="B100" s="45"/>
      <c r="C100" s="46" t="str">
        <f t="shared" si="10"/>
        <v/>
      </c>
      <c r="D100" s="47" t="str">
        <f t="shared" si="11"/>
        <v/>
      </c>
      <c r="E100" s="46" t="str">
        <f t="shared" si="12"/>
        <v/>
      </c>
      <c r="I100" s="42"/>
      <c r="J100" s="42">
        <f t="shared" si="13"/>
        <v>0</v>
      </c>
      <c r="K100" s="42"/>
      <c r="L100" s="42"/>
      <c r="M100" s="42"/>
      <c r="N100" s="42"/>
      <c r="O100" s="42"/>
      <c r="P100" s="42">
        <f t="shared" si="14"/>
        <v>0</v>
      </c>
      <c r="Q100" s="42">
        <f t="shared" si="15"/>
        <v>0</v>
      </c>
      <c r="R100" s="42"/>
    </row>
    <row r="101" spans="2:18" x14ac:dyDescent="0.35">
      <c r="B101" s="45"/>
      <c r="C101" s="46" t="str">
        <f t="shared" si="10"/>
        <v/>
      </c>
      <c r="D101" s="47" t="str">
        <f t="shared" si="11"/>
        <v/>
      </c>
      <c r="E101" s="46" t="str">
        <f t="shared" si="12"/>
        <v/>
      </c>
      <c r="I101" s="42"/>
      <c r="J101" s="42">
        <f t="shared" si="13"/>
        <v>0</v>
      </c>
      <c r="K101" s="42"/>
      <c r="L101" s="42"/>
      <c r="M101" s="42"/>
      <c r="N101" s="42"/>
      <c r="O101" s="42"/>
      <c r="P101" s="42">
        <f t="shared" si="14"/>
        <v>0</v>
      </c>
      <c r="Q101" s="42">
        <f t="shared" si="15"/>
        <v>0</v>
      </c>
      <c r="R101" s="42"/>
    </row>
    <row r="102" spans="2:18" x14ac:dyDescent="0.35">
      <c r="B102" s="45"/>
      <c r="C102" s="46" t="str">
        <f t="shared" si="10"/>
        <v/>
      </c>
      <c r="D102" s="47" t="str">
        <f t="shared" si="11"/>
        <v/>
      </c>
      <c r="E102" s="46" t="str">
        <f t="shared" si="12"/>
        <v/>
      </c>
      <c r="I102" s="42"/>
      <c r="J102" s="42">
        <f t="shared" si="13"/>
        <v>0</v>
      </c>
      <c r="K102" s="42"/>
      <c r="L102" s="42"/>
      <c r="M102" s="42"/>
      <c r="N102" s="42"/>
      <c r="O102" s="42"/>
      <c r="P102" s="42">
        <f t="shared" si="14"/>
        <v>0</v>
      </c>
      <c r="Q102" s="42">
        <f t="shared" si="15"/>
        <v>0</v>
      </c>
      <c r="R102" s="42"/>
    </row>
    <row r="103" spans="2:18" x14ac:dyDescent="0.35">
      <c r="B103" s="45"/>
      <c r="C103" s="46" t="str">
        <f t="shared" si="10"/>
        <v/>
      </c>
      <c r="D103" s="47" t="str">
        <f t="shared" si="11"/>
        <v/>
      </c>
      <c r="E103" s="46" t="str">
        <f t="shared" si="12"/>
        <v/>
      </c>
      <c r="I103" s="42"/>
      <c r="J103" s="42">
        <f t="shared" si="13"/>
        <v>0</v>
      </c>
      <c r="K103" s="42"/>
      <c r="L103" s="42"/>
      <c r="M103" s="42"/>
      <c r="N103" s="42"/>
      <c r="O103" s="42"/>
      <c r="P103" s="42">
        <f t="shared" si="14"/>
        <v>0</v>
      </c>
      <c r="Q103" s="42">
        <f t="shared" si="15"/>
        <v>0</v>
      </c>
      <c r="R103" s="42"/>
    </row>
    <row r="104" spans="2:18" x14ac:dyDescent="0.35">
      <c r="B104" s="45"/>
      <c r="C104" s="46" t="str">
        <f t="shared" si="10"/>
        <v/>
      </c>
      <c r="D104" s="47" t="str">
        <f t="shared" si="11"/>
        <v/>
      </c>
      <c r="E104" s="46" t="str">
        <f t="shared" si="12"/>
        <v/>
      </c>
      <c r="I104" s="42"/>
      <c r="J104" s="42">
        <f t="shared" si="13"/>
        <v>0</v>
      </c>
      <c r="K104" s="42"/>
      <c r="L104" s="42"/>
      <c r="M104" s="42"/>
      <c r="N104" s="42"/>
      <c r="O104" s="42"/>
      <c r="P104" s="42">
        <f t="shared" si="14"/>
        <v>0</v>
      </c>
      <c r="Q104" s="42">
        <f t="shared" si="15"/>
        <v>0</v>
      </c>
      <c r="R104" s="42"/>
    </row>
    <row r="105" spans="2:18" x14ac:dyDescent="0.35">
      <c r="B105" s="45"/>
      <c r="C105" s="46" t="str">
        <f t="shared" si="10"/>
        <v/>
      </c>
      <c r="D105" s="47" t="str">
        <f t="shared" si="11"/>
        <v/>
      </c>
      <c r="E105" s="46" t="str">
        <f t="shared" si="12"/>
        <v/>
      </c>
      <c r="I105" s="42"/>
      <c r="J105" s="42">
        <f t="shared" si="13"/>
        <v>0</v>
      </c>
      <c r="K105" s="42"/>
      <c r="L105" s="42"/>
      <c r="M105" s="42"/>
      <c r="N105" s="42"/>
      <c r="O105" s="42"/>
      <c r="P105" s="42">
        <f t="shared" si="14"/>
        <v>0</v>
      </c>
      <c r="Q105" s="42">
        <f t="shared" si="15"/>
        <v>0</v>
      </c>
      <c r="R105" s="42"/>
    </row>
    <row r="106" spans="2:18" x14ac:dyDescent="0.35">
      <c r="B106" s="45"/>
      <c r="C106" s="46" t="str">
        <f t="shared" si="10"/>
        <v/>
      </c>
      <c r="D106" s="47" t="str">
        <f t="shared" si="11"/>
        <v/>
      </c>
      <c r="E106" s="46" t="str">
        <f t="shared" si="12"/>
        <v/>
      </c>
      <c r="I106" s="42"/>
      <c r="J106" s="42">
        <f t="shared" si="13"/>
        <v>0</v>
      </c>
      <c r="K106" s="42"/>
      <c r="L106" s="42"/>
      <c r="M106" s="42"/>
      <c r="N106" s="42"/>
      <c r="O106" s="42"/>
      <c r="P106" s="42">
        <f t="shared" si="14"/>
        <v>0</v>
      </c>
      <c r="Q106" s="42">
        <f t="shared" si="15"/>
        <v>0</v>
      </c>
      <c r="R106" s="42"/>
    </row>
    <row r="107" spans="2:18" x14ac:dyDescent="0.35">
      <c r="B107" s="45"/>
      <c r="C107" s="46" t="str">
        <f t="shared" si="10"/>
        <v/>
      </c>
      <c r="D107" s="47" t="str">
        <f t="shared" si="11"/>
        <v/>
      </c>
      <c r="E107" s="46" t="str">
        <f t="shared" si="12"/>
        <v/>
      </c>
      <c r="I107" s="42"/>
      <c r="J107" s="42">
        <f t="shared" si="13"/>
        <v>0</v>
      </c>
      <c r="K107" s="42"/>
      <c r="L107" s="42"/>
      <c r="M107" s="42"/>
      <c r="N107" s="42"/>
      <c r="O107" s="42"/>
      <c r="P107" s="42">
        <f t="shared" si="14"/>
        <v>0</v>
      </c>
      <c r="Q107" s="42">
        <f t="shared" si="15"/>
        <v>0</v>
      </c>
      <c r="R107" s="42"/>
    </row>
    <row r="108" spans="2:18" x14ac:dyDescent="0.35">
      <c r="B108" s="45"/>
      <c r="C108" s="46" t="str">
        <f t="shared" si="10"/>
        <v/>
      </c>
      <c r="D108" s="47" t="str">
        <f t="shared" si="11"/>
        <v/>
      </c>
      <c r="E108" s="46" t="str">
        <f t="shared" si="12"/>
        <v/>
      </c>
      <c r="I108" s="42"/>
      <c r="J108" s="42">
        <f t="shared" si="13"/>
        <v>0</v>
      </c>
      <c r="K108" s="42"/>
      <c r="L108" s="42"/>
      <c r="M108" s="42"/>
      <c r="N108" s="42"/>
      <c r="O108" s="42"/>
      <c r="P108" s="42">
        <f t="shared" si="14"/>
        <v>0</v>
      </c>
      <c r="Q108" s="42">
        <f t="shared" si="15"/>
        <v>0</v>
      </c>
      <c r="R108" s="42"/>
    </row>
    <row r="109" spans="2:18" x14ac:dyDescent="0.35">
      <c r="B109" s="45"/>
      <c r="C109" s="46" t="str">
        <f t="shared" si="10"/>
        <v/>
      </c>
      <c r="D109" s="47" t="str">
        <f t="shared" si="11"/>
        <v/>
      </c>
      <c r="E109" s="46" t="str">
        <f t="shared" si="12"/>
        <v/>
      </c>
      <c r="I109" s="42"/>
      <c r="J109" s="42">
        <f t="shared" si="13"/>
        <v>0</v>
      </c>
      <c r="K109" s="42"/>
      <c r="L109" s="42"/>
      <c r="M109" s="42"/>
      <c r="N109" s="42"/>
      <c r="O109" s="42"/>
      <c r="P109" s="42">
        <f t="shared" si="14"/>
        <v>0</v>
      </c>
      <c r="Q109" s="42">
        <f t="shared" si="15"/>
        <v>0</v>
      </c>
      <c r="R109" s="42"/>
    </row>
    <row r="110" spans="2:18" x14ac:dyDescent="0.35">
      <c r="B110" s="45"/>
      <c r="C110" s="46" t="str">
        <f t="shared" si="10"/>
        <v/>
      </c>
      <c r="D110" s="47" t="str">
        <f t="shared" si="11"/>
        <v/>
      </c>
      <c r="E110" s="46" t="str">
        <f t="shared" si="12"/>
        <v/>
      </c>
      <c r="I110" s="42"/>
      <c r="J110" s="42">
        <f t="shared" si="13"/>
        <v>0</v>
      </c>
      <c r="K110" s="42"/>
      <c r="L110" s="42"/>
      <c r="M110" s="42"/>
      <c r="N110" s="42"/>
      <c r="O110" s="42"/>
      <c r="P110" s="42">
        <f t="shared" si="14"/>
        <v>0</v>
      </c>
      <c r="Q110" s="42">
        <f t="shared" si="15"/>
        <v>0</v>
      </c>
      <c r="R110" s="42"/>
    </row>
    <row r="111" spans="2:18" x14ac:dyDescent="0.35">
      <c r="B111" s="45"/>
      <c r="C111" s="46" t="str">
        <f t="shared" si="10"/>
        <v/>
      </c>
      <c r="D111" s="47" t="str">
        <f t="shared" si="11"/>
        <v/>
      </c>
      <c r="E111" s="46" t="str">
        <f t="shared" si="12"/>
        <v/>
      </c>
      <c r="I111" s="42"/>
      <c r="J111" s="42">
        <f t="shared" si="13"/>
        <v>0</v>
      </c>
      <c r="K111" s="42"/>
      <c r="L111" s="42"/>
      <c r="M111" s="42"/>
      <c r="N111" s="42"/>
      <c r="O111" s="42"/>
      <c r="P111" s="42">
        <f t="shared" si="14"/>
        <v>0</v>
      </c>
      <c r="Q111" s="42">
        <f t="shared" si="15"/>
        <v>0</v>
      </c>
      <c r="R111" s="42"/>
    </row>
    <row r="112" spans="2:18" x14ac:dyDescent="0.35">
      <c r="B112" s="45"/>
      <c r="C112" s="46" t="str">
        <f t="shared" si="10"/>
        <v/>
      </c>
      <c r="D112" s="47" t="str">
        <f t="shared" si="11"/>
        <v/>
      </c>
      <c r="E112" s="46" t="str">
        <f t="shared" si="12"/>
        <v/>
      </c>
      <c r="I112" s="42"/>
      <c r="J112" s="42">
        <f t="shared" si="13"/>
        <v>0</v>
      </c>
      <c r="K112" s="42"/>
      <c r="L112" s="42"/>
      <c r="M112" s="42"/>
      <c r="N112" s="42"/>
      <c r="O112" s="42"/>
      <c r="P112" s="42">
        <f t="shared" si="14"/>
        <v>0</v>
      </c>
      <c r="Q112" s="42">
        <f t="shared" si="15"/>
        <v>0</v>
      </c>
      <c r="R112" s="42"/>
    </row>
    <row r="113" spans="2:18" x14ac:dyDescent="0.35">
      <c r="B113" s="45"/>
      <c r="C113" s="46" t="str">
        <f t="shared" si="10"/>
        <v/>
      </c>
      <c r="D113" s="47" t="str">
        <f t="shared" si="11"/>
        <v/>
      </c>
      <c r="E113" s="46" t="str">
        <f t="shared" si="12"/>
        <v/>
      </c>
      <c r="I113" s="42"/>
      <c r="J113" s="42">
        <f t="shared" si="13"/>
        <v>0</v>
      </c>
      <c r="K113" s="42"/>
      <c r="L113" s="42"/>
      <c r="M113" s="42"/>
      <c r="N113" s="42"/>
      <c r="O113" s="42"/>
      <c r="P113" s="42">
        <f t="shared" si="14"/>
        <v>0</v>
      </c>
      <c r="Q113" s="42">
        <f t="shared" si="15"/>
        <v>0</v>
      </c>
      <c r="R113" s="42"/>
    </row>
    <row r="114" spans="2:18" x14ac:dyDescent="0.35">
      <c r="B114" s="45"/>
      <c r="C114" s="46" t="str">
        <f t="shared" si="10"/>
        <v/>
      </c>
      <c r="D114" s="47" t="str">
        <f t="shared" si="11"/>
        <v/>
      </c>
      <c r="E114" s="46" t="str">
        <f t="shared" si="12"/>
        <v/>
      </c>
      <c r="I114" s="42"/>
      <c r="J114" s="42">
        <f t="shared" si="13"/>
        <v>0</v>
      </c>
      <c r="K114" s="42"/>
      <c r="L114" s="42"/>
      <c r="M114" s="42"/>
      <c r="N114" s="42"/>
      <c r="O114" s="42"/>
      <c r="P114" s="42">
        <f t="shared" si="14"/>
        <v>0</v>
      </c>
      <c r="Q114" s="42">
        <f t="shared" si="15"/>
        <v>0</v>
      </c>
      <c r="R114" s="42"/>
    </row>
    <row r="115" spans="2:18" x14ac:dyDescent="0.35">
      <c r="B115" s="45"/>
      <c r="C115" s="46" t="str">
        <f t="shared" si="10"/>
        <v/>
      </c>
      <c r="D115" s="47" t="str">
        <f t="shared" si="11"/>
        <v/>
      </c>
      <c r="E115" s="46" t="str">
        <f t="shared" si="12"/>
        <v/>
      </c>
      <c r="I115" s="42"/>
      <c r="J115" s="42">
        <f t="shared" si="13"/>
        <v>0</v>
      </c>
      <c r="K115" s="42"/>
      <c r="L115" s="42"/>
      <c r="M115" s="42"/>
      <c r="N115" s="42"/>
      <c r="O115" s="42"/>
      <c r="P115" s="42">
        <f t="shared" si="14"/>
        <v>0</v>
      </c>
      <c r="Q115" s="42">
        <f t="shared" si="15"/>
        <v>0</v>
      </c>
      <c r="R115" s="42"/>
    </row>
    <row r="116" spans="2:18" x14ac:dyDescent="0.35">
      <c r="B116" s="45"/>
      <c r="C116" s="46" t="str">
        <f t="shared" si="10"/>
        <v/>
      </c>
      <c r="D116" s="47" t="str">
        <f t="shared" si="11"/>
        <v/>
      </c>
      <c r="E116" s="46" t="str">
        <f t="shared" si="12"/>
        <v/>
      </c>
      <c r="I116" s="42"/>
      <c r="J116" s="42">
        <f t="shared" si="13"/>
        <v>0</v>
      </c>
      <c r="K116" s="42"/>
      <c r="L116" s="42"/>
      <c r="M116" s="42"/>
      <c r="N116" s="42"/>
      <c r="O116" s="42"/>
      <c r="P116" s="42">
        <f t="shared" si="14"/>
        <v>0</v>
      </c>
      <c r="Q116" s="42">
        <f t="shared" si="15"/>
        <v>0</v>
      </c>
      <c r="R116" s="42"/>
    </row>
    <row r="117" spans="2:18" x14ac:dyDescent="0.35">
      <c r="B117" s="45"/>
      <c r="C117" s="46" t="str">
        <f t="shared" si="10"/>
        <v/>
      </c>
      <c r="D117" s="47" t="str">
        <f t="shared" si="11"/>
        <v/>
      </c>
      <c r="E117" s="46" t="str">
        <f t="shared" si="12"/>
        <v/>
      </c>
      <c r="I117" s="42"/>
      <c r="J117" s="42">
        <f t="shared" si="13"/>
        <v>0</v>
      </c>
      <c r="K117" s="42"/>
      <c r="L117" s="42"/>
      <c r="M117" s="42"/>
      <c r="N117" s="42"/>
      <c r="O117" s="42"/>
      <c r="P117" s="42">
        <f t="shared" si="14"/>
        <v>0</v>
      </c>
      <c r="Q117" s="42">
        <f t="shared" si="15"/>
        <v>0</v>
      </c>
      <c r="R117" s="42"/>
    </row>
    <row r="118" spans="2:18" x14ac:dyDescent="0.35">
      <c r="B118" s="45"/>
      <c r="C118" s="46" t="str">
        <f t="shared" si="10"/>
        <v/>
      </c>
      <c r="D118" s="47" t="str">
        <f t="shared" si="11"/>
        <v/>
      </c>
      <c r="E118" s="46" t="str">
        <f t="shared" si="12"/>
        <v/>
      </c>
      <c r="I118" s="42"/>
      <c r="J118" s="42">
        <f t="shared" si="13"/>
        <v>0</v>
      </c>
      <c r="K118" s="42"/>
      <c r="L118" s="42"/>
      <c r="M118" s="42"/>
      <c r="N118" s="42"/>
      <c r="O118" s="42"/>
      <c r="P118" s="42">
        <f t="shared" si="14"/>
        <v>0</v>
      </c>
      <c r="Q118" s="42">
        <f t="shared" si="15"/>
        <v>0</v>
      </c>
      <c r="R118" s="42"/>
    </row>
    <row r="119" spans="2:18" x14ac:dyDescent="0.35">
      <c r="B119" s="45"/>
      <c r="C119" s="46" t="str">
        <f t="shared" si="10"/>
        <v/>
      </c>
      <c r="D119" s="47" t="str">
        <f t="shared" si="11"/>
        <v/>
      </c>
      <c r="E119" s="46" t="str">
        <f t="shared" si="12"/>
        <v/>
      </c>
      <c r="I119" s="42"/>
      <c r="J119" s="42">
        <f t="shared" si="13"/>
        <v>0</v>
      </c>
      <c r="K119" s="42"/>
      <c r="L119" s="42"/>
      <c r="M119" s="42"/>
      <c r="N119" s="42"/>
      <c r="O119" s="42"/>
      <c r="P119" s="42">
        <f t="shared" si="14"/>
        <v>0</v>
      </c>
      <c r="Q119" s="42">
        <f t="shared" si="15"/>
        <v>0</v>
      </c>
      <c r="R119" s="42"/>
    </row>
    <row r="120" spans="2:18" x14ac:dyDescent="0.35">
      <c r="B120" s="45"/>
      <c r="C120" s="46" t="str">
        <f t="shared" si="10"/>
        <v/>
      </c>
      <c r="D120" s="47" t="str">
        <f t="shared" si="11"/>
        <v/>
      </c>
      <c r="E120" s="46" t="str">
        <f t="shared" si="12"/>
        <v/>
      </c>
      <c r="I120" s="42"/>
      <c r="J120" s="42">
        <f t="shared" si="13"/>
        <v>0</v>
      </c>
      <c r="K120" s="42"/>
      <c r="L120" s="42"/>
      <c r="M120" s="42"/>
      <c r="N120" s="42"/>
      <c r="O120" s="42"/>
      <c r="P120" s="42">
        <f t="shared" si="14"/>
        <v>0</v>
      </c>
      <c r="Q120" s="42">
        <f t="shared" si="15"/>
        <v>0</v>
      </c>
      <c r="R120" s="42"/>
    </row>
    <row r="121" spans="2:18" x14ac:dyDescent="0.35">
      <c r="B121" s="45"/>
      <c r="C121" s="46" t="str">
        <f t="shared" si="10"/>
        <v/>
      </c>
      <c r="D121" s="47" t="str">
        <f t="shared" si="11"/>
        <v/>
      </c>
      <c r="E121" s="46" t="str">
        <f t="shared" si="12"/>
        <v/>
      </c>
      <c r="I121" s="42"/>
      <c r="J121" s="42">
        <f t="shared" si="13"/>
        <v>0</v>
      </c>
      <c r="K121" s="42"/>
      <c r="L121" s="42"/>
      <c r="M121" s="42"/>
      <c r="N121" s="42"/>
      <c r="O121" s="42"/>
      <c r="P121" s="42">
        <f t="shared" si="14"/>
        <v>0</v>
      </c>
      <c r="Q121" s="42">
        <f t="shared" si="15"/>
        <v>0</v>
      </c>
      <c r="R121" s="42"/>
    </row>
    <row r="122" spans="2:18" x14ac:dyDescent="0.35">
      <c r="B122" s="45"/>
      <c r="C122" s="46" t="str">
        <f t="shared" si="10"/>
        <v/>
      </c>
      <c r="D122" s="47" t="str">
        <f t="shared" si="11"/>
        <v/>
      </c>
      <c r="E122" s="46" t="str">
        <f t="shared" si="12"/>
        <v/>
      </c>
      <c r="I122" s="42"/>
      <c r="J122" s="42">
        <f t="shared" si="13"/>
        <v>0</v>
      </c>
      <c r="K122" s="42"/>
      <c r="L122" s="42"/>
      <c r="M122" s="42"/>
      <c r="N122" s="42"/>
      <c r="O122" s="42"/>
      <c r="P122" s="42">
        <f t="shared" si="14"/>
        <v>0</v>
      </c>
      <c r="Q122" s="42">
        <f t="shared" si="15"/>
        <v>0</v>
      </c>
      <c r="R122" s="42"/>
    </row>
    <row r="123" spans="2:18" x14ac:dyDescent="0.35">
      <c r="B123" s="45"/>
      <c r="C123" s="46" t="str">
        <f t="shared" si="10"/>
        <v/>
      </c>
      <c r="D123" s="47" t="str">
        <f t="shared" si="11"/>
        <v/>
      </c>
      <c r="E123" s="46" t="str">
        <f t="shared" si="12"/>
        <v/>
      </c>
      <c r="I123" s="42"/>
      <c r="J123" s="42">
        <f t="shared" si="13"/>
        <v>0</v>
      </c>
      <c r="K123" s="42"/>
      <c r="L123" s="42"/>
      <c r="M123" s="42"/>
      <c r="N123" s="42"/>
      <c r="O123" s="42"/>
      <c r="P123" s="42">
        <f t="shared" si="14"/>
        <v>0</v>
      </c>
      <c r="Q123" s="42">
        <f t="shared" si="15"/>
        <v>0</v>
      </c>
      <c r="R123" s="42"/>
    </row>
    <row r="124" spans="2:18" x14ac:dyDescent="0.35">
      <c r="B124" s="45"/>
      <c r="C124" s="46" t="str">
        <f t="shared" si="10"/>
        <v/>
      </c>
      <c r="D124" s="47" t="str">
        <f t="shared" si="11"/>
        <v/>
      </c>
      <c r="E124" s="46" t="str">
        <f t="shared" si="12"/>
        <v/>
      </c>
      <c r="I124" s="42"/>
      <c r="J124" s="42">
        <f t="shared" si="13"/>
        <v>0</v>
      </c>
      <c r="K124" s="42"/>
      <c r="L124" s="42"/>
      <c r="M124" s="42"/>
      <c r="N124" s="42"/>
      <c r="O124" s="42"/>
      <c r="P124" s="42">
        <f t="shared" si="14"/>
        <v>0</v>
      </c>
      <c r="Q124" s="42">
        <f t="shared" si="15"/>
        <v>0</v>
      </c>
      <c r="R124" s="42"/>
    </row>
    <row r="125" spans="2:18" x14ac:dyDescent="0.35">
      <c r="B125" s="45"/>
      <c r="C125" s="46" t="str">
        <f t="shared" si="10"/>
        <v/>
      </c>
      <c r="D125" s="47" t="str">
        <f t="shared" si="11"/>
        <v/>
      </c>
      <c r="E125" s="46" t="str">
        <f t="shared" si="12"/>
        <v/>
      </c>
      <c r="I125" s="42"/>
      <c r="J125" s="42">
        <f t="shared" si="13"/>
        <v>0</v>
      </c>
      <c r="K125" s="42"/>
      <c r="L125" s="42"/>
      <c r="M125" s="42"/>
      <c r="N125" s="42"/>
      <c r="O125" s="42"/>
      <c r="P125" s="42">
        <f t="shared" si="14"/>
        <v>0</v>
      </c>
      <c r="Q125" s="42">
        <f t="shared" si="15"/>
        <v>0</v>
      </c>
      <c r="R125" s="42"/>
    </row>
    <row r="126" spans="2:18" x14ac:dyDescent="0.35">
      <c r="B126" s="45"/>
      <c r="C126" s="46" t="str">
        <f t="shared" si="10"/>
        <v/>
      </c>
      <c r="D126" s="47" t="str">
        <f t="shared" si="11"/>
        <v/>
      </c>
      <c r="E126" s="46" t="str">
        <f t="shared" si="12"/>
        <v/>
      </c>
      <c r="I126" s="42"/>
      <c r="J126" s="42">
        <f t="shared" si="13"/>
        <v>0</v>
      </c>
      <c r="K126" s="42"/>
      <c r="L126" s="42"/>
      <c r="M126" s="42"/>
      <c r="N126" s="42"/>
      <c r="O126" s="42"/>
      <c r="P126" s="42">
        <f t="shared" si="14"/>
        <v>0</v>
      </c>
      <c r="Q126" s="42">
        <f t="shared" si="15"/>
        <v>0</v>
      </c>
      <c r="R126" s="42"/>
    </row>
    <row r="127" spans="2:18" x14ac:dyDescent="0.35">
      <c r="B127" s="45"/>
      <c r="C127" s="46" t="str">
        <f t="shared" si="10"/>
        <v/>
      </c>
      <c r="D127" s="47" t="str">
        <f t="shared" si="11"/>
        <v/>
      </c>
      <c r="E127" s="46" t="str">
        <f t="shared" si="12"/>
        <v/>
      </c>
      <c r="I127" s="42"/>
      <c r="J127" s="42">
        <f t="shared" si="13"/>
        <v>0</v>
      </c>
      <c r="K127" s="42"/>
      <c r="L127" s="42"/>
      <c r="M127" s="42"/>
      <c r="N127" s="42"/>
      <c r="O127" s="42"/>
      <c r="P127" s="42">
        <f t="shared" si="14"/>
        <v>0</v>
      </c>
      <c r="Q127" s="42">
        <f t="shared" si="15"/>
        <v>0</v>
      </c>
      <c r="R127" s="42"/>
    </row>
    <row r="128" spans="2:18" x14ac:dyDescent="0.35">
      <c r="B128" s="45"/>
      <c r="C128" s="46" t="str">
        <f t="shared" si="10"/>
        <v/>
      </c>
      <c r="D128" s="47" t="str">
        <f t="shared" si="11"/>
        <v/>
      </c>
      <c r="E128" s="46" t="str">
        <f t="shared" si="12"/>
        <v/>
      </c>
      <c r="I128" s="42"/>
      <c r="J128" s="42">
        <f t="shared" si="13"/>
        <v>0</v>
      </c>
      <c r="K128" s="42"/>
      <c r="L128" s="42"/>
      <c r="M128" s="42"/>
      <c r="N128" s="42"/>
      <c r="O128" s="42"/>
      <c r="P128" s="42">
        <f t="shared" si="14"/>
        <v>0</v>
      </c>
      <c r="Q128" s="42">
        <f t="shared" si="15"/>
        <v>0</v>
      </c>
      <c r="R128" s="42"/>
    </row>
    <row r="129" spans="2:18" x14ac:dyDescent="0.35">
      <c r="B129" s="45"/>
      <c r="C129" s="46" t="str">
        <f t="shared" si="10"/>
        <v/>
      </c>
      <c r="D129" s="47" t="str">
        <f t="shared" si="11"/>
        <v/>
      </c>
      <c r="E129" s="46" t="str">
        <f t="shared" si="12"/>
        <v/>
      </c>
      <c r="I129" s="42"/>
      <c r="J129" s="42">
        <f t="shared" si="13"/>
        <v>0</v>
      </c>
      <c r="K129" s="42"/>
      <c r="L129" s="42"/>
      <c r="M129" s="42"/>
      <c r="N129" s="42"/>
      <c r="O129" s="42"/>
      <c r="P129" s="42">
        <f t="shared" si="14"/>
        <v>0</v>
      </c>
      <c r="Q129" s="42">
        <f t="shared" si="15"/>
        <v>0</v>
      </c>
      <c r="R129" s="42"/>
    </row>
    <row r="130" spans="2:18" x14ac:dyDescent="0.35">
      <c r="B130" s="45"/>
      <c r="C130" s="46" t="str">
        <f t="shared" si="10"/>
        <v/>
      </c>
      <c r="D130" s="47" t="str">
        <f t="shared" si="11"/>
        <v/>
      </c>
      <c r="E130" s="46" t="str">
        <f t="shared" si="12"/>
        <v/>
      </c>
      <c r="I130" s="42"/>
      <c r="J130" s="42">
        <f t="shared" si="13"/>
        <v>0</v>
      </c>
      <c r="K130" s="42"/>
      <c r="L130" s="42"/>
      <c r="M130" s="42"/>
      <c r="N130" s="42"/>
      <c r="O130" s="42"/>
      <c r="P130" s="42">
        <f t="shared" si="14"/>
        <v>0</v>
      </c>
      <c r="Q130" s="42">
        <f t="shared" si="15"/>
        <v>0</v>
      </c>
      <c r="R130" s="42"/>
    </row>
    <row r="131" spans="2:18" x14ac:dyDescent="0.35">
      <c r="B131" s="45"/>
      <c r="C131" s="46" t="str">
        <f t="shared" ref="C131:C194" si="16">IF($B131="","",_xlfn.ISOWEEKNUM($B131))</f>
        <v/>
      </c>
      <c r="D131" s="47" t="str">
        <f t="shared" ref="D131:D194" si="17">IF($B131="","",CHOOSE(MONTH($B131),"Enero","Febrero","Marzo","Abril","Mayo","Junio","Julio","Agosto","Septiembre","Octubre","Noviembre","Diciembre"))</f>
        <v/>
      </c>
      <c r="E131" s="46" t="str">
        <f t="shared" ref="E131:E194" si="18">IF($B131="","",MONTH($B131))</f>
        <v/>
      </c>
      <c r="I131" s="42"/>
      <c r="J131" s="42">
        <f t="shared" si="13"/>
        <v>0</v>
      </c>
      <c r="K131" s="42"/>
      <c r="L131" s="42"/>
      <c r="M131" s="42"/>
      <c r="N131" s="42"/>
      <c r="O131" s="42"/>
      <c r="P131" s="42">
        <f t="shared" si="14"/>
        <v>0</v>
      </c>
      <c r="Q131" s="42">
        <f t="shared" si="15"/>
        <v>0</v>
      </c>
      <c r="R131" s="42"/>
    </row>
    <row r="132" spans="2:18" x14ac:dyDescent="0.35">
      <c r="B132" s="45"/>
      <c r="C132" s="46" t="str">
        <f t="shared" si="16"/>
        <v/>
      </c>
      <c r="D132" s="47" t="str">
        <f t="shared" si="17"/>
        <v/>
      </c>
      <c r="E132" s="46" t="str">
        <f t="shared" si="18"/>
        <v/>
      </c>
      <c r="I132" s="42"/>
      <c r="J132" s="42">
        <f t="shared" si="13"/>
        <v>0</v>
      </c>
      <c r="K132" s="42"/>
      <c r="L132" s="42"/>
      <c r="M132" s="42"/>
      <c r="N132" s="42"/>
      <c r="O132" s="42"/>
      <c r="P132" s="42">
        <f t="shared" si="14"/>
        <v>0</v>
      </c>
      <c r="Q132" s="42">
        <f t="shared" si="15"/>
        <v>0</v>
      </c>
      <c r="R132" s="42"/>
    </row>
    <row r="133" spans="2:18" x14ac:dyDescent="0.35">
      <c r="B133" s="45"/>
      <c r="C133" s="46" t="str">
        <f t="shared" si="16"/>
        <v/>
      </c>
      <c r="D133" s="47" t="str">
        <f t="shared" si="17"/>
        <v/>
      </c>
      <c r="E133" s="46" t="str">
        <f t="shared" si="18"/>
        <v/>
      </c>
      <c r="I133" s="42"/>
      <c r="J133" s="42">
        <f t="shared" si="13"/>
        <v>0</v>
      </c>
      <c r="K133" s="42"/>
      <c r="L133" s="42"/>
      <c r="M133" s="42"/>
      <c r="N133" s="42"/>
      <c r="O133" s="42"/>
      <c r="P133" s="42">
        <f t="shared" si="14"/>
        <v>0</v>
      </c>
      <c r="Q133" s="42">
        <f t="shared" si="15"/>
        <v>0</v>
      </c>
      <c r="R133" s="42"/>
    </row>
    <row r="134" spans="2:18" x14ac:dyDescent="0.35">
      <c r="B134" s="45"/>
      <c r="C134" s="46" t="str">
        <f t="shared" si="16"/>
        <v/>
      </c>
      <c r="D134" s="47" t="str">
        <f t="shared" si="17"/>
        <v/>
      </c>
      <c r="E134" s="46" t="str">
        <f t="shared" si="18"/>
        <v/>
      </c>
      <c r="I134" s="42"/>
      <c r="J134" s="42">
        <f t="shared" si="13"/>
        <v>0</v>
      </c>
      <c r="K134" s="42"/>
      <c r="L134" s="42"/>
      <c r="M134" s="42"/>
      <c r="N134" s="42"/>
      <c r="O134" s="42"/>
      <c r="P134" s="42">
        <f t="shared" si="14"/>
        <v>0</v>
      </c>
      <c r="Q134" s="42">
        <f t="shared" si="15"/>
        <v>0</v>
      </c>
      <c r="R134" s="42"/>
    </row>
    <row r="135" spans="2:18" x14ac:dyDescent="0.35">
      <c r="B135" s="45"/>
      <c r="C135" s="46" t="str">
        <f t="shared" si="16"/>
        <v/>
      </c>
      <c r="D135" s="47" t="str">
        <f t="shared" si="17"/>
        <v/>
      </c>
      <c r="E135" s="46" t="str">
        <f t="shared" si="18"/>
        <v/>
      </c>
      <c r="I135" s="42"/>
      <c r="J135" s="42">
        <f t="shared" si="13"/>
        <v>0</v>
      </c>
      <c r="K135" s="42"/>
      <c r="L135" s="42"/>
      <c r="M135" s="42"/>
      <c r="N135" s="42"/>
      <c r="O135" s="42"/>
      <c r="P135" s="42">
        <f t="shared" si="14"/>
        <v>0</v>
      </c>
      <c r="Q135" s="42">
        <f t="shared" si="15"/>
        <v>0</v>
      </c>
      <c r="R135" s="42"/>
    </row>
    <row r="136" spans="2:18" x14ac:dyDescent="0.35">
      <c r="B136" s="45"/>
      <c r="C136" s="46" t="str">
        <f t="shared" si="16"/>
        <v/>
      </c>
      <c r="D136" s="47" t="str">
        <f t="shared" si="17"/>
        <v/>
      </c>
      <c r="E136" s="46" t="str">
        <f t="shared" si="18"/>
        <v/>
      </c>
      <c r="I136" s="42"/>
      <c r="J136" s="42">
        <f t="shared" si="13"/>
        <v>0</v>
      </c>
      <c r="K136" s="42"/>
      <c r="L136" s="42"/>
      <c r="M136" s="42"/>
      <c r="N136" s="42"/>
      <c r="O136" s="42"/>
      <c r="P136" s="42">
        <f t="shared" si="14"/>
        <v>0</v>
      </c>
      <c r="Q136" s="42">
        <f t="shared" si="15"/>
        <v>0</v>
      </c>
      <c r="R136" s="42"/>
    </row>
    <row r="137" spans="2:18" x14ac:dyDescent="0.35">
      <c r="B137" s="45"/>
      <c r="C137" s="46" t="str">
        <f t="shared" si="16"/>
        <v/>
      </c>
      <c r="D137" s="47" t="str">
        <f t="shared" si="17"/>
        <v/>
      </c>
      <c r="E137" s="46" t="str">
        <f t="shared" si="18"/>
        <v/>
      </c>
      <c r="I137" s="42"/>
      <c r="J137" s="42">
        <f t="shared" si="13"/>
        <v>0</v>
      </c>
      <c r="K137" s="42"/>
      <c r="L137" s="42"/>
      <c r="M137" s="42"/>
      <c r="N137" s="42"/>
      <c r="O137" s="42"/>
      <c r="P137" s="42">
        <f t="shared" si="14"/>
        <v>0</v>
      </c>
      <c r="Q137" s="42">
        <f t="shared" si="15"/>
        <v>0</v>
      </c>
      <c r="R137" s="42"/>
    </row>
    <row r="138" spans="2:18" x14ac:dyDescent="0.35">
      <c r="B138" s="45"/>
      <c r="C138" s="46" t="str">
        <f t="shared" si="16"/>
        <v/>
      </c>
      <c r="D138" s="47" t="str">
        <f t="shared" si="17"/>
        <v/>
      </c>
      <c r="E138" s="46" t="str">
        <f t="shared" si="18"/>
        <v/>
      </c>
      <c r="I138" s="42"/>
      <c r="J138" s="42">
        <f t="shared" si="13"/>
        <v>0</v>
      </c>
      <c r="K138" s="42"/>
      <c r="L138" s="42"/>
      <c r="M138" s="42"/>
      <c r="N138" s="42"/>
      <c r="O138" s="42"/>
      <c r="P138" s="42">
        <f t="shared" si="14"/>
        <v>0</v>
      </c>
      <c r="Q138" s="42">
        <f t="shared" si="15"/>
        <v>0</v>
      </c>
      <c r="R138" s="42"/>
    </row>
    <row r="139" spans="2:18" x14ac:dyDescent="0.35">
      <c r="B139" s="45"/>
      <c r="C139" s="46" t="str">
        <f t="shared" si="16"/>
        <v/>
      </c>
      <c r="D139" s="47" t="str">
        <f t="shared" si="17"/>
        <v/>
      </c>
      <c r="E139" s="46" t="str">
        <f t="shared" si="18"/>
        <v/>
      </c>
      <c r="I139" s="42"/>
      <c r="J139" s="42">
        <f t="shared" si="13"/>
        <v>0</v>
      </c>
      <c r="K139" s="42"/>
      <c r="L139" s="42"/>
      <c r="M139" s="42"/>
      <c r="N139" s="42"/>
      <c r="O139" s="42"/>
      <c r="P139" s="42">
        <f t="shared" si="14"/>
        <v>0</v>
      </c>
      <c r="Q139" s="42">
        <f t="shared" si="15"/>
        <v>0</v>
      </c>
      <c r="R139" s="42"/>
    </row>
    <row r="140" spans="2:18" x14ac:dyDescent="0.35">
      <c r="B140" s="45"/>
      <c r="C140" s="46" t="str">
        <f t="shared" si="16"/>
        <v/>
      </c>
      <c r="D140" s="47" t="str">
        <f t="shared" si="17"/>
        <v/>
      </c>
      <c r="E140" s="46" t="str">
        <f t="shared" si="18"/>
        <v/>
      </c>
      <c r="I140" s="42"/>
      <c r="J140" s="42">
        <f t="shared" si="13"/>
        <v>0</v>
      </c>
      <c r="K140" s="42"/>
      <c r="L140" s="42"/>
      <c r="M140" s="42"/>
      <c r="N140" s="42"/>
      <c r="O140" s="42"/>
      <c r="P140" s="42">
        <f t="shared" si="14"/>
        <v>0</v>
      </c>
      <c r="Q140" s="42">
        <f t="shared" si="15"/>
        <v>0</v>
      </c>
      <c r="R140" s="42"/>
    </row>
    <row r="141" spans="2:18" x14ac:dyDescent="0.35">
      <c r="B141" s="45"/>
      <c r="C141" s="46" t="str">
        <f t="shared" si="16"/>
        <v/>
      </c>
      <c r="D141" s="47" t="str">
        <f t="shared" si="17"/>
        <v/>
      </c>
      <c r="E141" s="46" t="str">
        <f t="shared" si="18"/>
        <v/>
      </c>
      <c r="I141" s="42"/>
      <c r="J141" s="42">
        <f t="shared" si="13"/>
        <v>0</v>
      </c>
      <c r="K141" s="42"/>
      <c r="L141" s="42"/>
      <c r="M141" s="42"/>
      <c r="N141" s="42"/>
      <c r="O141" s="42"/>
      <c r="P141" s="42">
        <f t="shared" si="14"/>
        <v>0</v>
      </c>
      <c r="Q141" s="42">
        <f t="shared" si="15"/>
        <v>0</v>
      </c>
      <c r="R141" s="42"/>
    </row>
    <row r="142" spans="2:18" x14ac:dyDescent="0.35">
      <c r="B142" s="45"/>
      <c r="C142" s="46" t="str">
        <f t="shared" si="16"/>
        <v/>
      </c>
      <c r="D142" s="47" t="str">
        <f t="shared" si="17"/>
        <v/>
      </c>
      <c r="E142" s="46" t="str">
        <f t="shared" si="18"/>
        <v/>
      </c>
      <c r="I142" s="42"/>
      <c r="J142" s="42">
        <f t="shared" si="13"/>
        <v>0</v>
      </c>
      <c r="K142" s="42"/>
      <c r="L142" s="42"/>
      <c r="M142" s="42"/>
      <c r="N142" s="42"/>
      <c r="O142" s="42"/>
      <c r="P142" s="42">
        <f t="shared" si="14"/>
        <v>0</v>
      </c>
      <c r="Q142" s="42">
        <f t="shared" si="15"/>
        <v>0</v>
      </c>
      <c r="R142" s="42"/>
    </row>
    <row r="143" spans="2:18" x14ac:dyDescent="0.35">
      <c r="B143" s="45"/>
      <c r="C143" s="46" t="str">
        <f t="shared" si="16"/>
        <v/>
      </c>
      <c r="D143" s="47" t="str">
        <f t="shared" si="17"/>
        <v/>
      </c>
      <c r="E143" s="46" t="str">
        <f t="shared" si="18"/>
        <v/>
      </c>
      <c r="I143" s="42"/>
      <c r="J143" s="42">
        <f t="shared" si="13"/>
        <v>0</v>
      </c>
      <c r="K143" s="42"/>
      <c r="L143" s="42"/>
      <c r="M143" s="42"/>
      <c r="N143" s="42"/>
      <c r="O143" s="42"/>
      <c r="P143" s="42">
        <f t="shared" si="14"/>
        <v>0</v>
      </c>
      <c r="Q143" s="42">
        <f t="shared" si="15"/>
        <v>0</v>
      </c>
      <c r="R143" s="42"/>
    </row>
    <row r="144" spans="2:18" x14ac:dyDescent="0.35">
      <c r="B144" s="45"/>
      <c r="C144" s="46" t="str">
        <f t="shared" si="16"/>
        <v/>
      </c>
      <c r="D144" s="47" t="str">
        <f t="shared" si="17"/>
        <v/>
      </c>
      <c r="E144" s="46" t="str">
        <f t="shared" si="18"/>
        <v/>
      </c>
      <c r="I144" s="42"/>
      <c r="J144" s="42">
        <f t="shared" si="13"/>
        <v>0</v>
      </c>
      <c r="K144" s="42"/>
      <c r="L144" s="42"/>
      <c r="M144" s="42"/>
      <c r="N144" s="42"/>
      <c r="O144" s="42"/>
      <c r="P144" s="42">
        <f t="shared" si="14"/>
        <v>0</v>
      </c>
      <c r="Q144" s="42">
        <f t="shared" si="15"/>
        <v>0</v>
      </c>
      <c r="R144" s="42"/>
    </row>
    <row r="145" spans="2:18" x14ac:dyDescent="0.35">
      <c r="B145" s="45"/>
      <c r="C145" s="46" t="str">
        <f t="shared" si="16"/>
        <v/>
      </c>
      <c r="D145" s="47" t="str">
        <f t="shared" si="17"/>
        <v/>
      </c>
      <c r="E145" s="46" t="str">
        <f t="shared" si="18"/>
        <v/>
      </c>
      <c r="I145" s="42"/>
      <c r="J145" s="42">
        <f t="shared" si="13"/>
        <v>0</v>
      </c>
      <c r="K145" s="42"/>
      <c r="L145" s="42"/>
      <c r="M145" s="42"/>
      <c r="N145" s="42"/>
      <c r="O145" s="42"/>
      <c r="P145" s="42">
        <f t="shared" si="14"/>
        <v>0</v>
      </c>
      <c r="Q145" s="42">
        <f t="shared" si="15"/>
        <v>0</v>
      </c>
      <c r="R145" s="42"/>
    </row>
    <row r="146" spans="2:18" x14ac:dyDescent="0.35">
      <c r="B146" s="45"/>
      <c r="C146" s="46" t="str">
        <f t="shared" si="16"/>
        <v/>
      </c>
      <c r="D146" s="47" t="str">
        <f t="shared" si="17"/>
        <v/>
      </c>
      <c r="E146" s="46" t="str">
        <f t="shared" si="18"/>
        <v/>
      </c>
      <c r="I146" s="42"/>
      <c r="J146" s="42">
        <f t="shared" si="13"/>
        <v>0</v>
      </c>
      <c r="K146" s="42"/>
      <c r="L146" s="42"/>
      <c r="M146" s="42"/>
      <c r="N146" s="42"/>
      <c r="O146" s="42"/>
      <c r="P146" s="42">
        <f t="shared" si="14"/>
        <v>0</v>
      </c>
      <c r="Q146" s="42">
        <f t="shared" si="15"/>
        <v>0</v>
      </c>
      <c r="R146" s="42"/>
    </row>
    <row r="147" spans="2:18" x14ac:dyDescent="0.35">
      <c r="B147" s="45"/>
      <c r="C147" s="46" t="str">
        <f t="shared" si="16"/>
        <v/>
      </c>
      <c r="D147" s="47" t="str">
        <f t="shared" si="17"/>
        <v/>
      </c>
      <c r="E147" s="46" t="str">
        <f t="shared" si="18"/>
        <v/>
      </c>
      <c r="I147" s="42"/>
      <c r="J147" s="42">
        <f t="shared" si="13"/>
        <v>0</v>
      </c>
      <c r="K147" s="42"/>
      <c r="L147" s="42"/>
      <c r="M147" s="42"/>
      <c r="N147" s="42"/>
      <c r="O147" s="42"/>
      <c r="P147" s="42">
        <f t="shared" si="14"/>
        <v>0</v>
      </c>
      <c r="Q147" s="42">
        <f t="shared" si="15"/>
        <v>0</v>
      </c>
      <c r="R147" s="42"/>
    </row>
    <row r="148" spans="2:18" x14ac:dyDescent="0.35">
      <c r="B148" s="45"/>
      <c r="C148" s="46" t="str">
        <f t="shared" si="16"/>
        <v/>
      </c>
      <c r="D148" s="47" t="str">
        <f t="shared" si="17"/>
        <v/>
      </c>
      <c r="E148" s="46" t="str">
        <f t="shared" si="18"/>
        <v/>
      </c>
      <c r="I148" s="42"/>
      <c r="J148" s="42">
        <f t="shared" si="13"/>
        <v>0</v>
      </c>
      <c r="K148" s="42"/>
      <c r="L148" s="42"/>
      <c r="M148" s="42"/>
      <c r="N148" s="42"/>
      <c r="O148" s="42"/>
      <c r="P148" s="42">
        <f t="shared" si="14"/>
        <v>0</v>
      </c>
      <c r="Q148" s="42">
        <f t="shared" si="15"/>
        <v>0</v>
      </c>
      <c r="R148" s="42"/>
    </row>
    <row r="149" spans="2:18" x14ac:dyDescent="0.35">
      <c r="B149" s="45"/>
      <c r="C149" s="46" t="str">
        <f t="shared" si="16"/>
        <v/>
      </c>
      <c r="D149" s="47" t="str">
        <f t="shared" si="17"/>
        <v/>
      </c>
      <c r="E149" s="46" t="str">
        <f t="shared" si="18"/>
        <v/>
      </c>
      <c r="I149" s="42"/>
      <c r="J149" s="42">
        <f t="shared" si="13"/>
        <v>0</v>
      </c>
      <c r="K149" s="42"/>
      <c r="L149" s="42"/>
      <c r="M149" s="42"/>
      <c r="N149" s="42"/>
      <c r="O149" s="42"/>
      <c r="P149" s="42">
        <f t="shared" si="14"/>
        <v>0</v>
      </c>
      <c r="Q149" s="42">
        <f t="shared" si="15"/>
        <v>0</v>
      </c>
      <c r="R149" s="42"/>
    </row>
    <row r="150" spans="2:18" x14ac:dyDescent="0.35">
      <c r="B150" s="45"/>
      <c r="C150" s="46" t="str">
        <f t="shared" si="16"/>
        <v/>
      </c>
      <c r="D150" s="47" t="str">
        <f t="shared" si="17"/>
        <v/>
      </c>
      <c r="E150" s="46" t="str">
        <f t="shared" si="18"/>
        <v/>
      </c>
      <c r="I150" s="42"/>
      <c r="J150" s="42">
        <f t="shared" si="13"/>
        <v>0</v>
      </c>
      <c r="K150" s="42"/>
      <c r="L150" s="42"/>
      <c r="M150" s="42"/>
      <c r="N150" s="42"/>
      <c r="O150" s="42"/>
      <c r="P150" s="42">
        <f t="shared" si="14"/>
        <v>0</v>
      </c>
      <c r="Q150" s="42">
        <f t="shared" si="15"/>
        <v>0</v>
      </c>
      <c r="R150" s="42"/>
    </row>
    <row r="151" spans="2:18" x14ac:dyDescent="0.35">
      <c r="B151" s="45"/>
      <c r="C151" s="46" t="str">
        <f t="shared" si="16"/>
        <v/>
      </c>
      <c r="D151" s="47" t="str">
        <f t="shared" si="17"/>
        <v/>
      </c>
      <c r="E151" s="46" t="str">
        <f t="shared" si="18"/>
        <v/>
      </c>
      <c r="I151" s="42"/>
      <c r="J151" s="42">
        <f t="shared" si="13"/>
        <v>0</v>
      </c>
      <c r="K151" s="42"/>
      <c r="L151" s="42"/>
      <c r="M151" s="42"/>
      <c r="N151" s="42"/>
      <c r="O151" s="42"/>
      <c r="P151" s="42">
        <f t="shared" si="14"/>
        <v>0</v>
      </c>
      <c r="Q151" s="42">
        <f t="shared" si="15"/>
        <v>0</v>
      </c>
      <c r="R151" s="42"/>
    </row>
    <row r="152" spans="2:18" x14ac:dyDescent="0.35">
      <c r="B152" s="45"/>
      <c r="C152" s="46" t="str">
        <f t="shared" si="16"/>
        <v/>
      </c>
      <c r="D152" s="47" t="str">
        <f t="shared" si="17"/>
        <v/>
      </c>
      <c r="E152" s="46" t="str">
        <f t="shared" si="18"/>
        <v/>
      </c>
      <c r="I152" s="42"/>
      <c r="J152" s="42">
        <f t="shared" si="13"/>
        <v>0</v>
      </c>
      <c r="K152" s="42"/>
      <c r="L152" s="42"/>
      <c r="M152" s="42"/>
      <c r="N152" s="42"/>
      <c r="O152" s="42"/>
      <c r="P152" s="42">
        <f t="shared" si="14"/>
        <v>0</v>
      </c>
      <c r="Q152" s="42">
        <f t="shared" si="15"/>
        <v>0</v>
      </c>
      <c r="R152" s="42"/>
    </row>
    <row r="153" spans="2:18" x14ac:dyDescent="0.35">
      <c r="B153" s="45"/>
      <c r="C153" s="46" t="str">
        <f t="shared" si="16"/>
        <v/>
      </c>
      <c r="D153" s="47" t="str">
        <f t="shared" si="17"/>
        <v/>
      </c>
      <c r="E153" s="46" t="str">
        <f t="shared" si="18"/>
        <v/>
      </c>
      <c r="I153" s="42"/>
      <c r="J153" s="42">
        <f t="shared" si="13"/>
        <v>0</v>
      </c>
      <c r="K153" s="42"/>
      <c r="L153" s="42"/>
      <c r="M153" s="42"/>
      <c r="N153" s="42"/>
      <c r="O153" s="42"/>
      <c r="P153" s="42">
        <f t="shared" si="14"/>
        <v>0</v>
      </c>
      <c r="Q153" s="42">
        <f t="shared" si="15"/>
        <v>0</v>
      </c>
      <c r="R153" s="42"/>
    </row>
    <row r="154" spans="2:18" x14ac:dyDescent="0.35">
      <c r="B154" s="45"/>
      <c r="C154" s="46" t="str">
        <f t="shared" si="16"/>
        <v/>
      </c>
      <c r="D154" s="47" t="str">
        <f t="shared" si="17"/>
        <v/>
      </c>
      <c r="E154" s="46" t="str">
        <f t="shared" si="18"/>
        <v/>
      </c>
      <c r="I154" s="42"/>
      <c r="J154" s="42">
        <f t="shared" si="13"/>
        <v>0</v>
      </c>
      <c r="K154" s="42"/>
      <c r="L154" s="42"/>
      <c r="M154" s="42"/>
      <c r="N154" s="42"/>
      <c r="O154" s="42"/>
      <c r="P154" s="42">
        <f t="shared" si="14"/>
        <v>0</v>
      </c>
      <c r="Q154" s="42">
        <f t="shared" si="15"/>
        <v>0</v>
      </c>
      <c r="R154" s="42"/>
    </row>
    <row r="155" spans="2:18" x14ac:dyDescent="0.35">
      <c r="B155" s="45"/>
      <c r="C155" s="46" t="str">
        <f t="shared" si="16"/>
        <v/>
      </c>
      <c r="D155" s="47" t="str">
        <f t="shared" si="17"/>
        <v/>
      </c>
      <c r="E155" s="46" t="str">
        <f t="shared" si="18"/>
        <v/>
      </c>
      <c r="I155" s="42"/>
      <c r="J155" s="42">
        <f t="shared" si="13"/>
        <v>0</v>
      </c>
      <c r="K155" s="42"/>
      <c r="L155" s="42"/>
      <c r="M155" s="42"/>
      <c r="N155" s="42"/>
      <c r="O155" s="42"/>
      <c r="P155" s="42">
        <f t="shared" si="14"/>
        <v>0</v>
      </c>
      <c r="Q155" s="42">
        <f t="shared" si="15"/>
        <v>0</v>
      </c>
      <c r="R155" s="42"/>
    </row>
    <row r="156" spans="2:18" x14ac:dyDescent="0.35">
      <c r="B156" s="45"/>
      <c r="C156" s="46" t="str">
        <f t="shared" si="16"/>
        <v/>
      </c>
      <c r="D156" s="47" t="str">
        <f t="shared" si="17"/>
        <v/>
      </c>
      <c r="E156" s="46" t="str">
        <f t="shared" si="18"/>
        <v/>
      </c>
      <c r="I156" s="42"/>
      <c r="J156" s="42">
        <f t="shared" si="13"/>
        <v>0</v>
      </c>
      <c r="K156" s="42"/>
      <c r="L156" s="42"/>
      <c r="M156" s="42"/>
      <c r="N156" s="42"/>
      <c r="O156" s="42"/>
      <c r="P156" s="42">
        <f t="shared" si="14"/>
        <v>0</v>
      </c>
      <c r="Q156" s="42">
        <f t="shared" si="15"/>
        <v>0</v>
      </c>
      <c r="R156" s="42"/>
    </row>
    <row r="157" spans="2:18" x14ac:dyDescent="0.35">
      <c r="B157" s="45"/>
      <c r="C157" s="46" t="str">
        <f t="shared" si="16"/>
        <v/>
      </c>
      <c r="D157" s="47" t="str">
        <f t="shared" si="17"/>
        <v/>
      </c>
      <c r="E157" s="46" t="str">
        <f t="shared" si="18"/>
        <v/>
      </c>
      <c r="I157" s="42"/>
      <c r="J157" s="42">
        <f t="shared" si="13"/>
        <v>0</v>
      </c>
      <c r="K157" s="42"/>
      <c r="L157" s="42"/>
      <c r="M157" s="42"/>
      <c r="N157" s="42"/>
      <c r="O157" s="42"/>
      <c r="P157" s="42">
        <f t="shared" si="14"/>
        <v>0</v>
      </c>
      <c r="Q157" s="42">
        <f t="shared" si="15"/>
        <v>0</v>
      </c>
      <c r="R157" s="42"/>
    </row>
    <row r="158" spans="2:18" x14ac:dyDescent="0.35">
      <c r="B158" s="45"/>
      <c r="C158" s="46" t="str">
        <f t="shared" si="16"/>
        <v/>
      </c>
      <c r="D158" s="47" t="str">
        <f t="shared" si="17"/>
        <v/>
      </c>
      <c r="E158" s="46" t="str">
        <f t="shared" si="18"/>
        <v/>
      </c>
      <c r="I158" s="42"/>
      <c r="J158" s="42">
        <f t="shared" si="13"/>
        <v>0</v>
      </c>
      <c r="K158" s="42"/>
      <c r="L158" s="42"/>
      <c r="M158" s="42"/>
      <c r="N158" s="42"/>
      <c r="O158" s="42"/>
      <c r="P158" s="42">
        <f t="shared" si="14"/>
        <v>0</v>
      </c>
      <c r="Q158" s="42">
        <f t="shared" si="15"/>
        <v>0</v>
      </c>
      <c r="R158" s="42"/>
    </row>
    <row r="159" spans="2:18" x14ac:dyDescent="0.35">
      <c r="B159" s="45"/>
      <c r="C159" s="46" t="str">
        <f t="shared" si="16"/>
        <v/>
      </c>
      <c r="D159" s="47" t="str">
        <f t="shared" si="17"/>
        <v/>
      </c>
      <c r="E159" s="46" t="str">
        <f t="shared" si="18"/>
        <v/>
      </c>
      <c r="I159" s="42"/>
      <c r="J159" s="42">
        <f t="shared" si="13"/>
        <v>0</v>
      </c>
      <c r="K159" s="42"/>
      <c r="L159" s="42"/>
      <c r="M159" s="42"/>
      <c r="N159" s="42"/>
      <c r="O159" s="42"/>
      <c r="P159" s="42">
        <f t="shared" si="14"/>
        <v>0</v>
      </c>
      <c r="Q159" s="42">
        <f t="shared" si="15"/>
        <v>0</v>
      </c>
      <c r="R159" s="42"/>
    </row>
    <row r="160" spans="2:18" x14ac:dyDescent="0.35">
      <c r="B160" s="45"/>
      <c r="C160" s="46" t="str">
        <f t="shared" si="16"/>
        <v/>
      </c>
      <c r="D160" s="47" t="str">
        <f t="shared" si="17"/>
        <v/>
      </c>
      <c r="E160" s="46" t="str">
        <f t="shared" si="18"/>
        <v/>
      </c>
      <c r="I160" s="42"/>
      <c r="J160" s="42">
        <f t="shared" si="13"/>
        <v>0</v>
      </c>
      <c r="K160" s="42"/>
      <c r="L160" s="42"/>
      <c r="M160" s="42"/>
      <c r="N160" s="42"/>
      <c r="O160" s="42"/>
      <c r="P160" s="42">
        <f t="shared" si="14"/>
        <v>0</v>
      </c>
      <c r="Q160" s="42">
        <f t="shared" si="15"/>
        <v>0</v>
      </c>
      <c r="R160" s="42"/>
    </row>
    <row r="161" spans="2:18" x14ac:dyDescent="0.35">
      <c r="B161" s="45"/>
      <c r="C161" s="46" t="str">
        <f t="shared" si="16"/>
        <v/>
      </c>
      <c r="D161" s="47" t="str">
        <f t="shared" si="17"/>
        <v/>
      </c>
      <c r="E161" s="46" t="str">
        <f t="shared" si="18"/>
        <v/>
      </c>
      <c r="I161" s="42"/>
      <c r="J161" s="42">
        <f t="shared" si="13"/>
        <v>0</v>
      </c>
      <c r="K161" s="42"/>
      <c r="L161" s="42"/>
      <c r="M161" s="42"/>
      <c r="N161" s="42"/>
      <c r="O161" s="42"/>
      <c r="P161" s="42">
        <f t="shared" si="14"/>
        <v>0</v>
      </c>
      <c r="Q161" s="42">
        <f t="shared" si="15"/>
        <v>0</v>
      </c>
      <c r="R161" s="42"/>
    </row>
    <row r="162" spans="2:18" x14ac:dyDescent="0.35">
      <c r="B162" s="45"/>
      <c r="C162" s="46" t="str">
        <f t="shared" si="16"/>
        <v/>
      </c>
      <c r="D162" s="47" t="str">
        <f t="shared" si="17"/>
        <v/>
      </c>
      <c r="E162" s="46" t="str">
        <f t="shared" si="18"/>
        <v/>
      </c>
      <c r="I162" s="42"/>
      <c r="J162" s="42">
        <f t="shared" si="13"/>
        <v>0</v>
      </c>
      <c r="K162" s="42"/>
      <c r="L162" s="42"/>
      <c r="M162" s="42"/>
      <c r="N162" s="42"/>
      <c r="O162" s="42"/>
      <c r="P162" s="42">
        <f t="shared" si="14"/>
        <v>0</v>
      </c>
      <c r="Q162" s="42">
        <f t="shared" si="15"/>
        <v>0</v>
      </c>
      <c r="R162" s="42"/>
    </row>
    <row r="163" spans="2:18" x14ac:dyDescent="0.35">
      <c r="B163" s="45"/>
      <c r="C163" s="46" t="str">
        <f t="shared" si="16"/>
        <v/>
      </c>
      <c r="D163" s="47" t="str">
        <f t="shared" si="17"/>
        <v/>
      </c>
      <c r="E163" s="46" t="str">
        <f t="shared" si="18"/>
        <v/>
      </c>
      <c r="I163" s="42"/>
      <c r="J163" s="42">
        <f t="shared" ref="J163:J226" si="19">SUM(K163:O163)</f>
        <v>0</v>
      </c>
      <c r="K163" s="42"/>
      <c r="L163" s="42"/>
      <c r="M163" s="42"/>
      <c r="N163" s="42"/>
      <c r="O163" s="42"/>
      <c r="P163" s="42">
        <f t="shared" ref="P163:P226" si="20">IF(I163&gt;0,SUM(K163:N163)/I163,0)</f>
        <v>0</v>
      </c>
      <c r="Q163" s="42">
        <f t="shared" ref="Q163:Q226" si="21">IF(I163&gt;0,O163/I163,0)</f>
        <v>0</v>
      </c>
      <c r="R163" s="42"/>
    </row>
    <row r="164" spans="2:18" x14ac:dyDescent="0.35">
      <c r="B164" s="45"/>
      <c r="C164" s="46" t="str">
        <f t="shared" si="16"/>
        <v/>
      </c>
      <c r="D164" s="47" t="str">
        <f t="shared" si="17"/>
        <v/>
      </c>
      <c r="E164" s="46" t="str">
        <f t="shared" si="18"/>
        <v/>
      </c>
      <c r="I164" s="42"/>
      <c r="J164" s="42">
        <f t="shared" si="19"/>
        <v>0</v>
      </c>
      <c r="K164" s="42"/>
      <c r="L164" s="42"/>
      <c r="M164" s="42"/>
      <c r="N164" s="42"/>
      <c r="O164" s="42"/>
      <c r="P164" s="42">
        <f t="shared" si="20"/>
        <v>0</v>
      </c>
      <c r="Q164" s="42">
        <f t="shared" si="21"/>
        <v>0</v>
      </c>
      <c r="R164" s="42"/>
    </row>
    <row r="165" spans="2:18" x14ac:dyDescent="0.35">
      <c r="B165" s="45"/>
      <c r="C165" s="46" t="str">
        <f t="shared" si="16"/>
        <v/>
      </c>
      <c r="D165" s="47" t="str">
        <f t="shared" si="17"/>
        <v/>
      </c>
      <c r="E165" s="46" t="str">
        <f t="shared" si="18"/>
        <v/>
      </c>
      <c r="I165" s="42"/>
      <c r="J165" s="42">
        <f t="shared" si="19"/>
        <v>0</v>
      </c>
      <c r="K165" s="42"/>
      <c r="L165" s="42"/>
      <c r="M165" s="42"/>
      <c r="N165" s="42"/>
      <c r="O165" s="42"/>
      <c r="P165" s="42">
        <f t="shared" si="20"/>
        <v>0</v>
      </c>
      <c r="Q165" s="42">
        <f t="shared" si="21"/>
        <v>0</v>
      </c>
      <c r="R165" s="42"/>
    </row>
    <row r="166" spans="2:18" x14ac:dyDescent="0.35">
      <c r="B166" s="45"/>
      <c r="C166" s="46" t="str">
        <f t="shared" si="16"/>
        <v/>
      </c>
      <c r="D166" s="47" t="str">
        <f t="shared" si="17"/>
        <v/>
      </c>
      <c r="E166" s="46" t="str">
        <f t="shared" si="18"/>
        <v/>
      </c>
      <c r="I166" s="42"/>
      <c r="J166" s="42">
        <f t="shared" si="19"/>
        <v>0</v>
      </c>
      <c r="K166" s="42"/>
      <c r="L166" s="42"/>
      <c r="M166" s="42"/>
      <c r="N166" s="42"/>
      <c r="O166" s="42"/>
      <c r="P166" s="42">
        <f t="shared" si="20"/>
        <v>0</v>
      </c>
      <c r="Q166" s="42">
        <f t="shared" si="21"/>
        <v>0</v>
      </c>
      <c r="R166" s="42"/>
    </row>
    <row r="167" spans="2:18" x14ac:dyDescent="0.35">
      <c r="B167" s="45"/>
      <c r="C167" s="46" t="str">
        <f t="shared" si="16"/>
        <v/>
      </c>
      <c r="D167" s="47" t="str">
        <f t="shared" si="17"/>
        <v/>
      </c>
      <c r="E167" s="46" t="str">
        <f t="shared" si="18"/>
        <v/>
      </c>
      <c r="I167" s="42"/>
      <c r="J167" s="42">
        <f t="shared" si="19"/>
        <v>0</v>
      </c>
      <c r="K167" s="42"/>
      <c r="L167" s="42"/>
      <c r="M167" s="42"/>
      <c r="N167" s="42"/>
      <c r="O167" s="42"/>
      <c r="P167" s="42">
        <f t="shared" si="20"/>
        <v>0</v>
      </c>
      <c r="Q167" s="42">
        <f t="shared" si="21"/>
        <v>0</v>
      </c>
      <c r="R167" s="42"/>
    </row>
    <row r="168" spans="2:18" x14ac:dyDescent="0.35">
      <c r="B168" s="45"/>
      <c r="C168" s="46" t="str">
        <f t="shared" si="16"/>
        <v/>
      </c>
      <c r="D168" s="47" t="str">
        <f t="shared" si="17"/>
        <v/>
      </c>
      <c r="E168" s="46" t="str">
        <f t="shared" si="18"/>
        <v/>
      </c>
      <c r="I168" s="42"/>
      <c r="J168" s="42">
        <f t="shared" si="19"/>
        <v>0</v>
      </c>
      <c r="K168" s="42"/>
      <c r="L168" s="42"/>
      <c r="M168" s="42"/>
      <c r="N168" s="42"/>
      <c r="O168" s="42"/>
      <c r="P168" s="42">
        <f t="shared" si="20"/>
        <v>0</v>
      </c>
      <c r="Q168" s="42">
        <f t="shared" si="21"/>
        <v>0</v>
      </c>
      <c r="R168" s="42"/>
    </row>
    <row r="169" spans="2:18" x14ac:dyDescent="0.35">
      <c r="B169" s="45"/>
      <c r="C169" s="46" t="str">
        <f t="shared" si="16"/>
        <v/>
      </c>
      <c r="D169" s="47" t="str">
        <f t="shared" si="17"/>
        <v/>
      </c>
      <c r="E169" s="46" t="str">
        <f t="shared" si="18"/>
        <v/>
      </c>
      <c r="I169" s="42"/>
      <c r="J169" s="42">
        <f t="shared" si="19"/>
        <v>0</v>
      </c>
      <c r="K169" s="42"/>
      <c r="L169" s="42"/>
      <c r="M169" s="42"/>
      <c r="N169" s="42"/>
      <c r="O169" s="42"/>
      <c r="P169" s="42">
        <f t="shared" si="20"/>
        <v>0</v>
      </c>
      <c r="Q169" s="42">
        <f t="shared" si="21"/>
        <v>0</v>
      </c>
      <c r="R169" s="42"/>
    </row>
    <row r="170" spans="2:18" x14ac:dyDescent="0.35">
      <c r="B170" s="45"/>
      <c r="C170" s="46" t="str">
        <f t="shared" si="16"/>
        <v/>
      </c>
      <c r="D170" s="47" t="str">
        <f t="shared" si="17"/>
        <v/>
      </c>
      <c r="E170" s="46" t="str">
        <f t="shared" si="18"/>
        <v/>
      </c>
      <c r="I170" s="42"/>
      <c r="J170" s="42">
        <f t="shared" si="19"/>
        <v>0</v>
      </c>
      <c r="K170" s="42"/>
      <c r="L170" s="42"/>
      <c r="M170" s="42"/>
      <c r="N170" s="42"/>
      <c r="O170" s="42"/>
      <c r="P170" s="42">
        <f t="shared" si="20"/>
        <v>0</v>
      </c>
      <c r="Q170" s="42">
        <f t="shared" si="21"/>
        <v>0</v>
      </c>
      <c r="R170" s="42"/>
    </row>
    <row r="171" spans="2:18" x14ac:dyDescent="0.35">
      <c r="B171" s="45"/>
      <c r="C171" s="46" t="str">
        <f t="shared" si="16"/>
        <v/>
      </c>
      <c r="D171" s="47" t="str">
        <f t="shared" si="17"/>
        <v/>
      </c>
      <c r="E171" s="46" t="str">
        <f t="shared" si="18"/>
        <v/>
      </c>
      <c r="I171" s="42"/>
      <c r="J171" s="42">
        <f t="shared" si="19"/>
        <v>0</v>
      </c>
      <c r="K171" s="42"/>
      <c r="L171" s="42"/>
      <c r="M171" s="42"/>
      <c r="N171" s="42"/>
      <c r="O171" s="42"/>
      <c r="P171" s="42">
        <f t="shared" si="20"/>
        <v>0</v>
      </c>
      <c r="Q171" s="42">
        <f t="shared" si="21"/>
        <v>0</v>
      </c>
      <c r="R171" s="42"/>
    </row>
    <row r="172" spans="2:18" x14ac:dyDescent="0.35">
      <c r="B172" s="45"/>
      <c r="C172" s="46" t="str">
        <f t="shared" si="16"/>
        <v/>
      </c>
      <c r="D172" s="47" t="str">
        <f t="shared" si="17"/>
        <v/>
      </c>
      <c r="E172" s="46" t="str">
        <f t="shared" si="18"/>
        <v/>
      </c>
      <c r="I172" s="42"/>
      <c r="J172" s="42">
        <f t="shared" si="19"/>
        <v>0</v>
      </c>
      <c r="K172" s="42"/>
      <c r="L172" s="42"/>
      <c r="M172" s="42"/>
      <c r="N172" s="42"/>
      <c r="O172" s="42"/>
      <c r="P172" s="42">
        <f t="shared" si="20"/>
        <v>0</v>
      </c>
      <c r="Q172" s="42">
        <f t="shared" si="21"/>
        <v>0</v>
      </c>
      <c r="R172" s="42"/>
    </row>
    <row r="173" spans="2:18" x14ac:dyDescent="0.35">
      <c r="B173" s="45"/>
      <c r="C173" s="46" t="str">
        <f t="shared" si="16"/>
        <v/>
      </c>
      <c r="D173" s="47" t="str">
        <f t="shared" si="17"/>
        <v/>
      </c>
      <c r="E173" s="46" t="str">
        <f t="shared" si="18"/>
        <v/>
      </c>
      <c r="I173" s="42"/>
      <c r="J173" s="42">
        <f t="shared" si="19"/>
        <v>0</v>
      </c>
      <c r="K173" s="42"/>
      <c r="L173" s="42"/>
      <c r="M173" s="42"/>
      <c r="N173" s="42"/>
      <c r="O173" s="42"/>
      <c r="P173" s="42">
        <f t="shared" si="20"/>
        <v>0</v>
      </c>
      <c r="Q173" s="42">
        <f t="shared" si="21"/>
        <v>0</v>
      </c>
      <c r="R173" s="42"/>
    </row>
    <row r="174" spans="2:18" x14ac:dyDescent="0.35">
      <c r="B174" s="45"/>
      <c r="C174" s="46" t="str">
        <f t="shared" si="16"/>
        <v/>
      </c>
      <c r="D174" s="47" t="str">
        <f t="shared" si="17"/>
        <v/>
      </c>
      <c r="E174" s="46" t="str">
        <f t="shared" si="18"/>
        <v/>
      </c>
      <c r="I174" s="42"/>
      <c r="J174" s="42">
        <f t="shared" si="19"/>
        <v>0</v>
      </c>
      <c r="K174" s="42"/>
      <c r="L174" s="42"/>
      <c r="M174" s="42"/>
      <c r="N174" s="42"/>
      <c r="O174" s="42"/>
      <c r="P174" s="42">
        <f t="shared" si="20"/>
        <v>0</v>
      </c>
      <c r="Q174" s="42">
        <f t="shared" si="21"/>
        <v>0</v>
      </c>
      <c r="R174" s="42"/>
    </row>
    <row r="175" spans="2:18" x14ac:dyDescent="0.35">
      <c r="B175" s="45"/>
      <c r="C175" s="46" t="str">
        <f t="shared" si="16"/>
        <v/>
      </c>
      <c r="D175" s="47" t="str">
        <f t="shared" si="17"/>
        <v/>
      </c>
      <c r="E175" s="46" t="str">
        <f t="shared" si="18"/>
        <v/>
      </c>
      <c r="I175" s="42"/>
      <c r="J175" s="42">
        <f t="shared" si="19"/>
        <v>0</v>
      </c>
      <c r="K175" s="42"/>
      <c r="L175" s="42"/>
      <c r="M175" s="42"/>
      <c r="N175" s="42"/>
      <c r="O175" s="42"/>
      <c r="P175" s="42">
        <f t="shared" si="20"/>
        <v>0</v>
      </c>
      <c r="Q175" s="42">
        <f t="shared" si="21"/>
        <v>0</v>
      </c>
      <c r="R175" s="42"/>
    </row>
    <row r="176" spans="2:18" x14ac:dyDescent="0.35">
      <c r="B176" s="45"/>
      <c r="C176" s="46" t="str">
        <f t="shared" si="16"/>
        <v/>
      </c>
      <c r="D176" s="47" t="str">
        <f t="shared" si="17"/>
        <v/>
      </c>
      <c r="E176" s="46" t="str">
        <f t="shared" si="18"/>
        <v/>
      </c>
      <c r="I176" s="42"/>
      <c r="J176" s="42">
        <f t="shared" si="19"/>
        <v>0</v>
      </c>
      <c r="K176" s="42"/>
      <c r="L176" s="42"/>
      <c r="M176" s="42"/>
      <c r="N176" s="42"/>
      <c r="O176" s="42"/>
      <c r="P176" s="42">
        <f t="shared" si="20"/>
        <v>0</v>
      </c>
      <c r="Q176" s="42">
        <f t="shared" si="21"/>
        <v>0</v>
      </c>
      <c r="R176" s="42"/>
    </row>
    <row r="177" spans="2:18" x14ac:dyDescent="0.35">
      <c r="B177" s="45"/>
      <c r="C177" s="46" t="str">
        <f t="shared" si="16"/>
        <v/>
      </c>
      <c r="D177" s="47" t="str">
        <f t="shared" si="17"/>
        <v/>
      </c>
      <c r="E177" s="46" t="str">
        <f t="shared" si="18"/>
        <v/>
      </c>
      <c r="I177" s="42"/>
      <c r="J177" s="42">
        <f t="shared" si="19"/>
        <v>0</v>
      </c>
      <c r="K177" s="42"/>
      <c r="L177" s="42"/>
      <c r="M177" s="42"/>
      <c r="N177" s="42"/>
      <c r="O177" s="42"/>
      <c r="P177" s="42">
        <f t="shared" si="20"/>
        <v>0</v>
      </c>
      <c r="Q177" s="42">
        <f t="shared" si="21"/>
        <v>0</v>
      </c>
      <c r="R177" s="42"/>
    </row>
    <row r="178" spans="2:18" x14ac:dyDescent="0.35">
      <c r="B178" s="45"/>
      <c r="C178" s="46" t="str">
        <f t="shared" si="16"/>
        <v/>
      </c>
      <c r="D178" s="47" t="str">
        <f t="shared" si="17"/>
        <v/>
      </c>
      <c r="E178" s="46" t="str">
        <f t="shared" si="18"/>
        <v/>
      </c>
      <c r="I178" s="42"/>
      <c r="J178" s="42">
        <f t="shared" si="19"/>
        <v>0</v>
      </c>
      <c r="K178" s="42"/>
      <c r="L178" s="42"/>
      <c r="M178" s="42"/>
      <c r="N178" s="42"/>
      <c r="O178" s="42"/>
      <c r="P178" s="42">
        <f t="shared" si="20"/>
        <v>0</v>
      </c>
      <c r="Q178" s="42">
        <f t="shared" si="21"/>
        <v>0</v>
      </c>
      <c r="R178" s="42"/>
    </row>
    <row r="179" spans="2:18" x14ac:dyDescent="0.35">
      <c r="B179" s="45"/>
      <c r="C179" s="46" t="str">
        <f t="shared" si="16"/>
        <v/>
      </c>
      <c r="D179" s="47" t="str">
        <f t="shared" si="17"/>
        <v/>
      </c>
      <c r="E179" s="46" t="str">
        <f t="shared" si="18"/>
        <v/>
      </c>
      <c r="I179" s="42"/>
      <c r="J179" s="42">
        <f t="shared" si="19"/>
        <v>0</v>
      </c>
      <c r="K179" s="42"/>
      <c r="L179" s="42"/>
      <c r="M179" s="42"/>
      <c r="N179" s="42"/>
      <c r="O179" s="42"/>
      <c r="P179" s="42">
        <f t="shared" si="20"/>
        <v>0</v>
      </c>
      <c r="Q179" s="42">
        <f t="shared" si="21"/>
        <v>0</v>
      </c>
      <c r="R179" s="42"/>
    </row>
    <row r="180" spans="2:18" x14ac:dyDescent="0.35">
      <c r="B180" s="45"/>
      <c r="C180" s="46" t="str">
        <f t="shared" si="16"/>
        <v/>
      </c>
      <c r="D180" s="47" t="str">
        <f t="shared" si="17"/>
        <v/>
      </c>
      <c r="E180" s="46" t="str">
        <f t="shared" si="18"/>
        <v/>
      </c>
      <c r="I180" s="42"/>
      <c r="J180" s="42">
        <f t="shared" si="19"/>
        <v>0</v>
      </c>
      <c r="K180" s="42"/>
      <c r="L180" s="42"/>
      <c r="M180" s="42"/>
      <c r="N180" s="42"/>
      <c r="O180" s="42"/>
      <c r="P180" s="42">
        <f t="shared" si="20"/>
        <v>0</v>
      </c>
      <c r="Q180" s="42">
        <f t="shared" si="21"/>
        <v>0</v>
      </c>
      <c r="R180" s="42"/>
    </row>
    <row r="181" spans="2:18" x14ac:dyDescent="0.35">
      <c r="B181" s="45"/>
      <c r="C181" s="46" t="str">
        <f t="shared" si="16"/>
        <v/>
      </c>
      <c r="D181" s="47" t="str">
        <f t="shared" si="17"/>
        <v/>
      </c>
      <c r="E181" s="46" t="str">
        <f t="shared" si="18"/>
        <v/>
      </c>
      <c r="I181" s="42"/>
      <c r="J181" s="42">
        <f t="shared" si="19"/>
        <v>0</v>
      </c>
      <c r="K181" s="42"/>
      <c r="L181" s="42"/>
      <c r="M181" s="42"/>
      <c r="N181" s="42"/>
      <c r="O181" s="42"/>
      <c r="P181" s="42">
        <f t="shared" si="20"/>
        <v>0</v>
      </c>
      <c r="Q181" s="42">
        <f t="shared" si="21"/>
        <v>0</v>
      </c>
      <c r="R181" s="42"/>
    </row>
    <row r="182" spans="2:18" x14ac:dyDescent="0.35">
      <c r="B182" s="45"/>
      <c r="C182" s="46" t="str">
        <f t="shared" si="16"/>
        <v/>
      </c>
      <c r="D182" s="47" t="str">
        <f t="shared" si="17"/>
        <v/>
      </c>
      <c r="E182" s="46" t="str">
        <f t="shared" si="18"/>
        <v/>
      </c>
      <c r="I182" s="42"/>
      <c r="J182" s="42">
        <f t="shared" si="19"/>
        <v>0</v>
      </c>
      <c r="K182" s="42"/>
      <c r="L182" s="42"/>
      <c r="M182" s="42"/>
      <c r="N182" s="42"/>
      <c r="O182" s="42"/>
      <c r="P182" s="42">
        <f t="shared" si="20"/>
        <v>0</v>
      </c>
      <c r="Q182" s="42">
        <f t="shared" si="21"/>
        <v>0</v>
      </c>
      <c r="R182" s="42"/>
    </row>
    <row r="183" spans="2:18" x14ac:dyDescent="0.35">
      <c r="B183" s="45"/>
      <c r="C183" s="46" t="str">
        <f t="shared" si="16"/>
        <v/>
      </c>
      <c r="D183" s="47" t="str">
        <f t="shared" si="17"/>
        <v/>
      </c>
      <c r="E183" s="46" t="str">
        <f t="shared" si="18"/>
        <v/>
      </c>
      <c r="I183" s="42"/>
      <c r="J183" s="42">
        <f t="shared" si="19"/>
        <v>0</v>
      </c>
      <c r="K183" s="42"/>
      <c r="L183" s="42"/>
      <c r="M183" s="42"/>
      <c r="N183" s="42"/>
      <c r="O183" s="42"/>
      <c r="P183" s="42">
        <f t="shared" si="20"/>
        <v>0</v>
      </c>
      <c r="Q183" s="42">
        <f t="shared" si="21"/>
        <v>0</v>
      </c>
      <c r="R183" s="42"/>
    </row>
    <row r="184" spans="2:18" x14ac:dyDescent="0.35">
      <c r="B184" s="45"/>
      <c r="C184" s="46" t="str">
        <f t="shared" si="16"/>
        <v/>
      </c>
      <c r="D184" s="47" t="str">
        <f t="shared" si="17"/>
        <v/>
      </c>
      <c r="E184" s="46" t="str">
        <f t="shared" si="18"/>
        <v/>
      </c>
      <c r="I184" s="42"/>
      <c r="J184" s="42">
        <f t="shared" si="19"/>
        <v>0</v>
      </c>
      <c r="K184" s="42"/>
      <c r="L184" s="42"/>
      <c r="M184" s="42"/>
      <c r="N184" s="42"/>
      <c r="O184" s="42"/>
      <c r="P184" s="42">
        <f t="shared" si="20"/>
        <v>0</v>
      </c>
      <c r="Q184" s="42">
        <f t="shared" si="21"/>
        <v>0</v>
      </c>
      <c r="R184" s="42"/>
    </row>
    <row r="185" spans="2:18" x14ac:dyDescent="0.35">
      <c r="B185" s="45"/>
      <c r="C185" s="46" t="str">
        <f t="shared" si="16"/>
        <v/>
      </c>
      <c r="D185" s="47" t="str">
        <f t="shared" si="17"/>
        <v/>
      </c>
      <c r="E185" s="46" t="str">
        <f t="shared" si="18"/>
        <v/>
      </c>
      <c r="I185" s="42"/>
      <c r="J185" s="42">
        <f t="shared" si="19"/>
        <v>0</v>
      </c>
      <c r="K185" s="42"/>
      <c r="L185" s="42"/>
      <c r="M185" s="42"/>
      <c r="N185" s="42"/>
      <c r="O185" s="42"/>
      <c r="P185" s="42">
        <f t="shared" si="20"/>
        <v>0</v>
      </c>
      <c r="Q185" s="42">
        <f t="shared" si="21"/>
        <v>0</v>
      </c>
      <c r="R185" s="42"/>
    </row>
    <row r="186" spans="2:18" x14ac:dyDescent="0.35">
      <c r="B186" s="45"/>
      <c r="C186" s="46" t="str">
        <f t="shared" si="16"/>
        <v/>
      </c>
      <c r="D186" s="47" t="str">
        <f t="shared" si="17"/>
        <v/>
      </c>
      <c r="E186" s="46" t="str">
        <f t="shared" si="18"/>
        <v/>
      </c>
      <c r="I186" s="42"/>
      <c r="J186" s="42">
        <f t="shared" si="19"/>
        <v>0</v>
      </c>
      <c r="K186" s="42"/>
      <c r="L186" s="42"/>
      <c r="M186" s="42"/>
      <c r="N186" s="42"/>
      <c r="O186" s="42"/>
      <c r="P186" s="42">
        <f t="shared" si="20"/>
        <v>0</v>
      </c>
      <c r="Q186" s="42">
        <f t="shared" si="21"/>
        <v>0</v>
      </c>
      <c r="R186" s="42"/>
    </row>
    <row r="187" spans="2:18" x14ac:dyDescent="0.35">
      <c r="B187" s="45"/>
      <c r="C187" s="46" t="str">
        <f t="shared" si="16"/>
        <v/>
      </c>
      <c r="D187" s="47" t="str">
        <f t="shared" si="17"/>
        <v/>
      </c>
      <c r="E187" s="46" t="str">
        <f t="shared" si="18"/>
        <v/>
      </c>
      <c r="I187" s="42"/>
      <c r="J187" s="42">
        <f t="shared" si="19"/>
        <v>0</v>
      </c>
      <c r="K187" s="42"/>
      <c r="L187" s="42"/>
      <c r="M187" s="42"/>
      <c r="N187" s="42"/>
      <c r="O187" s="42"/>
      <c r="P187" s="42">
        <f t="shared" si="20"/>
        <v>0</v>
      </c>
      <c r="Q187" s="42">
        <f t="shared" si="21"/>
        <v>0</v>
      </c>
      <c r="R187" s="42"/>
    </row>
    <row r="188" spans="2:18" x14ac:dyDescent="0.35">
      <c r="B188" s="45"/>
      <c r="C188" s="46" t="str">
        <f t="shared" si="16"/>
        <v/>
      </c>
      <c r="D188" s="47" t="str">
        <f t="shared" si="17"/>
        <v/>
      </c>
      <c r="E188" s="46" t="str">
        <f t="shared" si="18"/>
        <v/>
      </c>
      <c r="I188" s="42"/>
      <c r="J188" s="42">
        <f t="shared" si="19"/>
        <v>0</v>
      </c>
      <c r="K188" s="42"/>
      <c r="L188" s="42"/>
      <c r="M188" s="42"/>
      <c r="N188" s="42"/>
      <c r="O188" s="42"/>
      <c r="P188" s="42">
        <f t="shared" si="20"/>
        <v>0</v>
      </c>
      <c r="Q188" s="42">
        <f t="shared" si="21"/>
        <v>0</v>
      </c>
      <c r="R188" s="42"/>
    </row>
    <row r="189" spans="2:18" x14ac:dyDescent="0.35">
      <c r="B189" s="45"/>
      <c r="C189" s="46" t="str">
        <f t="shared" si="16"/>
        <v/>
      </c>
      <c r="D189" s="47" t="str">
        <f t="shared" si="17"/>
        <v/>
      </c>
      <c r="E189" s="46" t="str">
        <f t="shared" si="18"/>
        <v/>
      </c>
      <c r="I189" s="42"/>
      <c r="J189" s="42">
        <f t="shared" si="19"/>
        <v>0</v>
      </c>
      <c r="K189" s="42"/>
      <c r="L189" s="42"/>
      <c r="M189" s="42"/>
      <c r="N189" s="42"/>
      <c r="O189" s="42"/>
      <c r="P189" s="42">
        <f t="shared" si="20"/>
        <v>0</v>
      </c>
      <c r="Q189" s="42">
        <f t="shared" si="21"/>
        <v>0</v>
      </c>
      <c r="R189" s="42"/>
    </row>
    <row r="190" spans="2:18" x14ac:dyDescent="0.35">
      <c r="B190" s="45"/>
      <c r="C190" s="46" t="str">
        <f t="shared" si="16"/>
        <v/>
      </c>
      <c r="D190" s="47" t="str">
        <f t="shared" si="17"/>
        <v/>
      </c>
      <c r="E190" s="46" t="str">
        <f t="shared" si="18"/>
        <v/>
      </c>
      <c r="I190" s="42"/>
      <c r="J190" s="42">
        <f t="shared" si="19"/>
        <v>0</v>
      </c>
      <c r="K190" s="42"/>
      <c r="L190" s="42"/>
      <c r="M190" s="42"/>
      <c r="N190" s="42"/>
      <c r="O190" s="42"/>
      <c r="P190" s="42">
        <f t="shared" si="20"/>
        <v>0</v>
      </c>
      <c r="Q190" s="42">
        <f t="shared" si="21"/>
        <v>0</v>
      </c>
      <c r="R190" s="42"/>
    </row>
    <row r="191" spans="2:18" x14ac:dyDescent="0.35">
      <c r="B191" s="45"/>
      <c r="C191" s="46" t="str">
        <f t="shared" si="16"/>
        <v/>
      </c>
      <c r="D191" s="47" t="str">
        <f t="shared" si="17"/>
        <v/>
      </c>
      <c r="E191" s="46" t="str">
        <f t="shared" si="18"/>
        <v/>
      </c>
      <c r="I191" s="42"/>
      <c r="J191" s="42">
        <f t="shared" si="19"/>
        <v>0</v>
      </c>
      <c r="K191" s="42"/>
      <c r="L191" s="42"/>
      <c r="M191" s="42"/>
      <c r="N191" s="42"/>
      <c r="O191" s="42"/>
      <c r="P191" s="42">
        <f t="shared" si="20"/>
        <v>0</v>
      </c>
      <c r="Q191" s="42">
        <f t="shared" si="21"/>
        <v>0</v>
      </c>
      <c r="R191" s="42"/>
    </row>
    <row r="192" spans="2:18" x14ac:dyDescent="0.35">
      <c r="B192" s="45"/>
      <c r="C192" s="46" t="str">
        <f t="shared" si="16"/>
        <v/>
      </c>
      <c r="D192" s="47" t="str">
        <f t="shared" si="17"/>
        <v/>
      </c>
      <c r="E192" s="46" t="str">
        <f t="shared" si="18"/>
        <v/>
      </c>
      <c r="I192" s="42"/>
      <c r="J192" s="42">
        <f t="shared" si="19"/>
        <v>0</v>
      </c>
      <c r="K192" s="42"/>
      <c r="L192" s="42"/>
      <c r="M192" s="42"/>
      <c r="N192" s="42"/>
      <c r="O192" s="42"/>
      <c r="P192" s="42">
        <f t="shared" si="20"/>
        <v>0</v>
      </c>
      <c r="Q192" s="42">
        <f t="shared" si="21"/>
        <v>0</v>
      </c>
      <c r="R192" s="42"/>
    </row>
    <row r="193" spans="2:18" x14ac:dyDescent="0.35">
      <c r="B193" s="45"/>
      <c r="C193" s="46" t="str">
        <f t="shared" si="16"/>
        <v/>
      </c>
      <c r="D193" s="47" t="str">
        <f t="shared" si="17"/>
        <v/>
      </c>
      <c r="E193" s="46" t="str">
        <f t="shared" si="18"/>
        <v/>
      </c>
      <c r="I193" s="42"/>
      <c r="J193" s="42">
        <f t="shared" si="19"/>
        <v>0</v>
      </c>
      <c r="K193" s="42"/>
      <c r="L193" s="42"/>
      <c r="M193" s="42"/>
      <c r="N193" s="42"/>
      <c r="O193" s="42"/>
      <c r="P193" s="42">
        <f t="shared" si="20"/>
        <v>0</v>
      </c>
      <c r="Q193" s="42">
        <f t="shared" si="21"/>
        <v>0</v>
      </c>
      <c r="R193" s="42"/>
    </row>
    <row r="194" spans="2:18" x14ac:dyDescent="0.35">
      <c r="B194" s="45"/>
      <c r="C194" s="46" t="str">
        <f t="shared" si="16"/>
        <v/>
      </c>
      <c r="D194" s="47" t="str">
        <f t="shared" si="17"/>
        <v/>
      </c>
      <c r="E194" s="46" t="str">
        <f t="shared" si="18"/>
        <v/>
      </c>
      <c r="I194" s="42"/>
      <c r="J194" s="42">
        <f t="shared" si="19"/>
        <v>0</v>
      </c>
      <c r="K194" s="42"/>
      <c r="L194" s="42"/>
      <c r="M194" s="42"/>
      <c r="N194" s="42"/>
      <c r="O194" s="42"/>
      <c r="P194" s="42">
        <f t="shared" si="20"/>
        <v>0</v>
      </c>
      <c r="Q194" s="42">
        <f t="shared" si="21"/>
        <v>0</v>
      </c>
      <c r="R194" s="42"/>
    </row>
    <row r="195" spans="2:18" x14ac:dyDescent="0.35">
      <c r="B195" s="45"/>
      <c r="C195" s="46" t="str">
        <f t="shared" ref="C195:C251" si="22">IF($B195="","",_xlfn.ISOWEEKNUM($B195))</f>
        <v/>
      </c>
      <c r="D195" s="47" t="str">
        <f t="shared" ref="D195:D251" si="23">IF($B195="","",CHOOSE(MONTH($B195),"Enero","Febrero","Marzo","Abril","Mayo","Junio","Julio","Agosto","Septiembre","Octubre","Noviembre","Diciembre"))</f>
        <v/>
      </c>
      <c r="E195" s="46" t="str">
        <f t="shared" ref="E195:E251" si="24">IF($B195="","",MONTH($B195))</f>
        <v/>
      </c>
      <c r="I195" s="42"/>
      <c r="J195" s="42">
        <f t="shared" si="19"/>
        <v>0</v>
      </c>
      <c r="K195" s="42"/>
      <c r="L195" s="42"/>
      <c r="M195" s="42"/>
      <c r="N195" s="42"/>
      <c r="O195" s="42"/>
      <c r="P195" s="42">
        <f t="shared" si="20"/>
        <v>0</v>
      </c>
      <c r="Q195" s="42">
        <f t="shared" si="21"/>
        <v>0</v>
      </c>
      <c r="R195" s="42"/>
    </row>
    <row r="196" spans="2:18" x14ac:dyDescent="0.35">
      <c r="B196" s="45"/>
      <c r="C196" s="46" t="str">
        <f t="shared" si="22"/>
        <v/>
      </c>
      <c r="D196" s="47" t="str">
        <f t="shared" si="23"/>
        <v/>
      </c>
      <c r="E196" s="46" t="str">
        <f t="shared" si="24"/>
        <v/>
      </c>
      <c r="I196" s="42"/>
      <c r="J196" s="42">
        <f t="shared" si="19"/>
        <v>0</v>
      </c>
      <c r="K196" s="42"/>
      <c r="L196" s="42"/>
      <c r="M196" s="42"/>
      <c r="N196" s="42"/>
      <c r="O196" s="42"/>
      <c r="P196" s="42">
        <f t="shared" si="20"/>
        <v>0</v>
      </c>
      <c r="Q196" s="42">
        <f t="shared" si="21"/>
        <v>0</v>
      </c>
      <c r="R196" s="42"/>
    </row>
    <row r="197" spans="2:18" x14ac:dyDescent="0.35">
      <c r="B197" s="45"/>
      <c r="C197" s="46" t="str">
        <f t="shared" si="22"/>
        <v/>
      </c>
      <c r="D197" s="47" t="str">
        <f t="shared" si="23"/>
        <v/>
      </c>
      <c r="E197" s="46" t="str">
        <f t="shared" si="24"/>
        <v/>
      </c>
      <c r="I197" s="42"/>
      <c r="J197" s="42">
        <f t="shared" si="19"/>
        <v>0</v>
      </c>
      <c r="K197" s="42"/>
      <c r="L197" s="42"/>
      <c r="M197" s="42"/>
      <c r="N197" s="42"/>
      <c r="O197" s="42"/>
      <c r="P197" s="42">
        <f t="shared" si="20"/>
        <v>0</v>
      </c>
      <c r="Q197" s="42">
        <f t="shared" si="21"/>
        <v>0</v>
      </c>
      <c r="R197" s="42"/>
    </row>
    <row r="198" spans="2:18" x14ac:dyDescent="0.35">
      <c r="B198" s="45"/>
      <c r="C198" s="46" t="str">
        <f t="shared" si="22"/>
        <v/>
      </c>
      <c r="D198" s="47" t="str">
        <f t="shared" si="23"/>
        <v/>
      </c>
      <c r="E198" s="46" t="str">
        <f t="shared" si="24"/>
        <v/>
      </c>
      <c r="I198" s="42"/>
      <c r="J198" s="42">
        <f t="shared" si="19"/>
        <v>0</v>
      </c>
      <c r="K198" s="42"/>
      <c r="L198" s="42"/>
      <c r="M198" s="42"/>
      <c r="N198" s="42"/>
      <c r="O198" s="42"/>
      <c r="P198" s="42">
        <f t="shared" si="20"/>
        <v>0</v>
      </c>
      <c r="Q198" s="42">
        <f t="shared" si="21"/>
        <v>0</v>
      </c>
      <c r="R198" s="42"/>
    </row>
    <row r="199" spans="2:18" x14ac:dyDescent="0.35">
      <c r="B199" s="45"/>
      <c r="C199" s="46" t="str">
        <f t="shared" si="22"/>
        <v/>
      </c>
      <c r="D199" s="47" t="str">
        <f t="shared" si="23"/>
        <v/>
      </c>
      <c r="E199" s="46" t="str">
        <f t="shared" si="24"/>
        <v/>
      </c>
      <c r="I199" s="42"/>
      <c r="J199" s="42">
        <f t="shared" si="19"/>
        <v>0</v>
      </c>
      <c r="K199" s="42"/>
      <c r="L199" s="42"/>
      <c r="M199" s="42"/>
      <c r="N199" s="42"/>
      <c r="O199" s="42"/>
      <c r="P199" s="42">
        <f t="shared" si="20"/>
        <v>0</v>
      </c>
      <c r="Q199" s="42">
        <f t="shared" si="21"/>
        <v>0</v>
      </c>
      <c r="R199" s="42"/>
    </row>
    <row r="200" spans="2:18" x14ac:dyDescent="0.35">
      <c r="B200" s="45"/>
      <c r="C200" s="46" t="str">
        <f t="shared" si="22"/>
        <v/>
      </c>
      <c r="D200" s="47" t="str">
        <f t="shared" si="23"/>
        <v/>
      </c>
      <c r="E200" s="46" t="str">
        <f t="shared" si="24"/>
        <v/>
      </c>
      <c r="I200" s="42"/>
      <c r="J200" s="42">
        <f t="shared" si="19"/>
        <v>0</v>
      </c>
      <c r="K200" s="42"/>
      <c r="L200" s="42"/>
      <c r="M200" s="42"/>
      <c r="N200" s="42"/>
      <c r="O200" s="42"/>
      <c r="P200" s="42">
        <f t="shared" si="20"/>
        <v>0</v>
      </c>
      <c r="Q200" s="42">
        <f t="shared" si="21"/>
        <v>0</v>
      </c>
      <c r="R200" s="42"/>
    </row>
    <row r="201" spans="2:18" x14ac:dyDescent="0.35">
      <c r="B201" s="45"/>
      <c r="C201" s="46" t="str">
        <f t="shared" si="22"/>
        <v/>
      </c>
      <c r="D201" s="47" t="str">
        <f t="shared" si="23"/>
        <v/>
      </c>
      <c r="E201" s="46" t="str">
        <f t="shared" si="24"/>
        <v/>
      </c>
      <c r="I201" s="42"/>
      <c r="J201" s="42">
        <f t="shared" si="19"/>
        <v>0</v>
      </c>
      <c r="K201" s="42"/>
      <c r="L201" s="42"/>
      <c r="M201" s="42"/>
      <c r="N201" s="42"/>
      <c r="O201" s="42"/>
      <c r="P201" s="42">
        <f t="shared" si="20"/>
        <v>0</v>
      </c>
      <c r="Q201" s="42">
        <f t="shared" si="21"/>
        <v>0</v>
      </c>
      <c r="R201" s="42"/>
    </row>
    <row r="202" spans="2:18" x14ac:dyDescent="0.35">
      <c r="B202" s="45"/>
      <c r="C202" s="46" t="str">
        <f t="shared" si="22"/>
        <v/>
      </c>
      <c r="D202" s="47" t="str">
        <f t="shared" si="23"/>
        <v/>
      </c>
      <c r="E202" s="46" t="str">
        <f t="shared" si="24"/>
        <v/>
      </c>
      <c r="I202" s="42"/>
      <c r="J202" s="42">
        <f t="shared" si="19"/>
        <v>0</v>
      </c>
      <c r="K202" s="42"/>
      <c r="L202" s="42"/>
      <c r="M202" s="42"/>
      <c r="N202" s="42"/>
      <c r="O202" s="42"/>
      <c r="P202" s="42">
        <f t="shared" si="20"/>
        <v>0</v>
      </c>
      <c r="Q202" s="42">
        <f t="shared" si="21"/>
        <v>0</v>
      </c>
      <c r="R202" s="42"/>
    </row>
    <row r="203" spans="2:18" x14ac:dyDescent="0.35">
      <c r="B203" s="45"/>
      <c r="C203" s="46" t="str">
        <f t="shared" si="22"/>
        <v/>
      </c>
      <c r="D203" s="47" t="str">
        <f t="shared" si="23"/>
        <v/>
      </c>
      <c r="E203" s="46" t="str">
        <f t="shared" si="24"/>
        <v/>
      </c>
      <c r="I203" s="42"/>
      <c r="J203" s="42">
        <f t="shared" si="19"/>
        <v>0</v>
      </c>
      <c r="K203" s="42"/>
      <c r="L203" s="42"/>
      <c r="M203" s="42"/>
      <c r="N203" s="42"/>
      <c r="O203" s="42"/>
      <c r="P203" s="42">
        <f t="shared" si="20"/>
        <v>0</v>
      </c>
      <c r="Q203" s="42">
        <f t="shared" si="21"/>
        <v>0</v>
      </c>
      <c r="R203" s="42"/>
    </row>
    <row r="204" spans="2:18" x14ac:dyDescent="0.35">
      <c r="B204" s="45"/>
      <c r="C204" s="46" t="str">
        <f t="shared" si="22"/>
        <v/>
      </c>
      <c r="D204" s="47" t="str">
        <f t="shared" si="23"/>
        <v/>
      </c>
      <c r="E204" s="46" t="str">
        <f t="shared" si="24"/>
        <v/>
      </c>
      <c r="I204" s="42"/>
      <c r="J204" s="42">
        <f t="shared" si="19"/>
        <v>0</v>
      </c>
      <c r="K204" s="42"/>
      <c r="L204" s="42"/>
      <c r="M204" s="42"/>
      <c r="N204" s="42"/>
      <c r="O204" s="42"/>
      <c r="P204" s="42">
        <f t="shared" si="20"/>
        <v>0</v>
      </c>
      <c r="Q204" s="42">
        <f t="shared" si="21"/>
        <v>0</v>
      </c>
      <c r="R204" s="42"/>
    </row>
    <row r="205" spans="2:18" x14ac:dyDescent="0.35">
      <c r="B205" s="45"/>
      <c r="C205" s="46" t="str">
        <f t="shared" si="22"/>
        <v/>
      </c>
      <c r="D205" s="47" t="str">
        <f t="shared" si="23"/>
        <v/>
      </c>
      <c r="E205" s="46" t="str">
        <f t="shared" si="24"/>
        <v/>
      </c>
      <c r="I205" s="42"/>
      <c r="J205" s="42">
        <f t="shared" si="19"/>
        <v>0</v>
      </c>
      <c r="K205" s="42"/>
      <c r="L205" s="42"/>
      <c r="M205" s="42"/>
      <c r="N205" s="42"/>
      <c r="O205" s="42"/>
      <c r="P205" s="42">
        <f t="shared" si="20"/>
        <v>0</v>
      </c>
      <c r="Q205" s="42">
        <f t="shared" si="21"/>
        <v>0</v>
      </c>
      <c r="R205" s="42"/>
    </row>
    <row r="206" spans="2:18" x14ac:dyDescent="0.35">
      <c r="B206" s="45"/>
      <c r="C206" s="46" t="str">
        <f t="shared" si="22"/>
        <v/>
      </c>
      <c r="D206" s="47" t="str">
        <f t="shared" si="23"/>
        <v/>
      </c>
      <c r="E206" s="46" t="str">
        <f t="shared" si="24"/>
        <v/>
      </c>
      <c r="I206" s="42"/>
      <c r="J206" s="42">
        <f t="shared" si="19"/>
        <v>0</v>
      </c>
      <c r="K206" s="42"/>
      <c r="L206" s="42"/>
      <c r="M206" s="42"/>
      <c r="N206" s="42"/>
      <c r="O206" s="42"/>
      <c r="P206" s="42">
        <f t="shared" si="20"/>
        <v>0</v>
      </c>
      <c r="Q206" s="42">
        <f t="shared" si="21"/>
        <v>0</v>
      </c>
      <c r="R206" s="42"/>
    </row>
    <row r="207" spans="2:18" x14ac:dyDescent="0.35">
      <c r="B207" s="45"/>
      <c r="C207" s="46" t="str">
        <f t="shared" si="22"/>
        <v/>
      </c>
      <c r="D207" s="47" t="str">
        <f t="shared" si="23"/>
        <v/>
      </c>
      <c r="E207" s="46" t="str">
        <f t="shared" si="24"/>
        <v/>
      </c>
      <c r="I207" s="42"/>
      <c r="J207" s="42">
        <f t="shared" si="19"/>
        <v>0</v>
      </c>
      <c r="K207" s="42"/>
      <c r="L207" s="42"/>
      <c r="M207" s="42"/>
      <c r="N207" s="42"/>
      <c r="O207" s="42"/>
      <c r="P207" s="42">
        <f t="shared" si="20"/>
        <v>0</v>
      </c>
      <c r="Q207" s="42">
        <f t="shared" si="21"/>
        <v>0</v>
      </c>
      <c r="R207" s="42"/>
    </row>
    <row r="208" spans="2:18" x14ac:dyDescent="0.35">
      <c r="B208" s="45"/>
      <c r="C208" s="46" t="str">
        <f t="shared" si="22"/>
        <v/>
      </c>
      <c r="D208" s="47" t="str">
        <f t="shared" si="23"/>
        <v/>
      </c>
      <c r="E208" s="46" t="str">
        <f t="shared" si="24"/>
        <v/>
      </c>
      <c r="I208" s="42"/>
      <c r="J208" s="42">
        <f t="shared" si="19"/>
        <v>0</v>
      </c>
      <c r="K208" s="42"/>
      <c r="L208" s="42"/>
      <c r="M208" s="42"/>
      <c r="N208" s="42"/>
      <c r="O208" s="42"/>
      <c r="P208" s="42">
        <f t="shared" si="20"/>
        <v>0</v>
      </c>
      <c r="Q208" s="42">
        <f t="shared" si="21"/>
        <v>0</v>
      </c>
      <c r="R208" s="42"/>
    </row>
    <row r="209" spans="2:18" x14ac:dyDescent="0.35">
      <c r="B209" s="45"/>
      <c r="C209" s="46" t="str">
        <f t="shared" si="22"/>
        <v/>
      </c>
      <c r="D209" s="47" t="str">
        <f t="shared" si="23"/>
        <v/>
      </c>
      <c r="E209" s="46" t="str">
        <f t="shared" si="24"/>
        <v/>
      </c>
      <c r="I209" s="42"/>
      <c r="J209" s="42">
        <f t="shared" si="19"/>
        <v>0</v>
      </c>
      <c r="K209" s="42"/>
      <c r="L209" s="42"/>
      <c r="M209" s="42"/>
      <c r="N209" s="42"/>
      <c r="O209" s="42"/>
      <c r="P209" s="42">
        <f t="shared" si="20"/>
        <v>0</v>
      </c>
      <c r="Q209" s="42">
        <f t="shared" si="21"/>
        <v>0</v>
      </c>
      <c r="R209" s="42"/>
    </row>
    <row r="210" spans="2:18" x14ac:dyDescent="0.35">
      <c r="B210" s="45"/>
      <c r="C210" s="46" t="str">
        <f t="shared" si="22"/>
        <v/>
      </c>
      <c r="D210" s="47" t="str">
        <f t="shared" si="23"/>
        <v/>
      </c>
      <c r="E210" s="46" t="str">
        <f t="shared" si="24"/>
        <v/>
      </c>
      <c r="I210" s="42"/>
      <c r="J210" s="42">
        <f t="shared" si="19"/>
        <v>0</v>
      </c>
      <c r="K210" s="42"/>
      <c r="L210" s="42"/>
      <c r="M210" s="42"/>
      <c r="N210" s="42"/>
      <c r="O210" s="42"/>
      <c r="P210" s="42">
        <f t="shared" si="20"/>
        <v>0</v>
      </c>
      <c r="Q210" s="42">
        <f t="shared" si="21"/>
        <v>0</v>
      </c>
      <c r="R210" s="42"/>
    </row>
    <row r="211" spans="2:18" x14ac:dyDescent="0.35">
      <c r="B211" s="45"/>
      <c r="C211" s="46" t="str">
        <f t="shared" si="22"/>
        <v/>
      </c>
      <c r="D211" s="47" t="str">
        <f t="shared" si="23"/>
        <v/>
      </c>
      <c r="E211" s="46" t="str">
        <f t="shared" si="24"/>
        <v/>
      </c>
      <c r="I211" s="42"/>
      <c r="J211" s="42">
        <f t="shared" si="19"/>
        <v>0</v>
      </c>
      <c r="K211" s="42"/>
      <c r="L211" s="42"/>
      <c r="M211" s="42"/>
      <c r="N211" s="42"/>
      <c r="O211" s="42"/>
      <c r="P211" s="42">
        <f t="shared" si="20"/>
        <v>0</v>
      </c>
      <c r="Q211" s="42">
        <f t="shared" si="21"/>
        <v>0</v>
      </c>
      <c r="R211" s="42"/>
    </row>
    <row r="212" spans="2:18" x14ac:dyDescent="0.35">
      <c r="B212" s="45"/>
      <c r="C212" s="46" t="str">
        <f t="shared" si="22"/>
        <v/>
      </c>
      <c r="D212" s="47" t="str">
        <f t="shared" si="23"/>
        <v/>
      </c>
      <c r="E212" s="46" t="str">
        <f t="shared" si="24"/>
        <v/>
      </c>
      <c r="I212" s="42"/>
      <c r="J212" s="42">
        <f t="shared" si="19"/>
        <v>0</v>
      </c>
      <c r="K212" s="42"/>
      <c r="L212" s="42"/>
      <c r="M212" s="42"/>
      <c r="N212" s="42"/>
      <c r="O212" s="42"/>
      <c r="P212" s="42">
        <f t="shared" si="20"/>
        <v>0</v>
      </c>
      <c r="Q212" s="42">
        <f t="shared" si="21"/>
        <v>0</v>
      </c>
      <c r="R212" s="42"/>
    </row>
    <row r="213" spans="2:18" x14ac:dyDescent="0.35">
      <c r="B213" s="45"/>
      <c r="C213" s="46" t="str">
        <f t="shared" si="22"/>
        <v/>
      </c>
      <c r="D213" s="47" t="str">
        <f t="shared" si="23"/>
        <v/>
      </c>
      <c r="E213" s="46" t="str">
        <f t="shared" si="24"/>
        <v/>
      </c>
      <c r="I213" s="42"/>
      <c r="J213" s="42">
        <f t="shared" si="19"/>
        <v>0</v>
      </c>
      <c r="K213" s="42"/>
      <c r="L213" s="42"/>
      <c r="M213" s="42"/>
      <c r="N213" s="42"/>
      <c r="O213" s="42"/>
      <c r="P213" s="42">
        <f t="shared" si="20"/>
        <v>0</v>
      </c>
      <c r="Q213" s="42">
        <f t="shared" si="21"/>
        <v>0</v>
      </c>
      <c r="R213" s="42"/>
    </row>
    <row r="214" spans="2:18" x14ac:dyDescent="0.35">
      <c r="B214" s="45"/>
      <c r="C214" s="46" t="str">
        <f t="shared" si="22"/>
        <v/>
      </c>
      <c r="D214" s="47" t="str">
        <f t="shared" si="23"/>
        <v/>
      </c>
      <c r="E214" s="46" t="str">
        <f t="shared" si="24"/>
        <v/>
      </c>
      <c r="I214" s="42"/>
      <c r="J214" s="42">
        <f t="shared" si="19"/>
        <v>0</v>
      </c>
      <c r="K214" s="42"/>
      <c r="L214" s="42"/>
      <c r="M214" s="42"/>
      <c r="N214" s="42"/>
      <c r="O214" s="42"/>
      <c r="P214" s="42">
        <f t="shared" si="20"/>
        <v>0</v>
      </c>
      <c r="Q214" s="42">
        <f t="shared" si="21"/>
        <v>0</v>
      </c>
      <c r="R214" s="42"/>
    </row>
    <row r="215" spans="2:18" x14ac:dyDescent="0.35">
      <c r="B215" s="45"/>
      <c r="C215" s="46" t="str">
        <f t="shared" si="22"/>
        <v/>
      </c>
      <c r="D215" s="47" t="str">
        <f t="shared" si="23"/>
        <v/>
      </c>
      <c r="E215" s="46" t="str">
        <f t="shared" si="24"/>
        <v/>
      </c>
      <c r="I215" s="42"/>
      <c r="J215" s="42">
        <f t="shared" si="19"/>
        <v>0</v>
      </c>
      <c r="K215" s="42"/>
      <c r="L215" s="42"/>
      <c r="M215" s="42"/>
      <c r="N215" s="42"/>
      <c r="O215" s="42"/>
      <c r="P215" s="42">
        <f t="shared" si="20"/>
        <v>0</v>
      </c>
      <c r="Q215" s="42">
        <f t="shared" si="21"/>
        <v>0</v>
      </c>
      <c r="R215" s="42"/>
    </row>
    <row r="216" spans="2:18" x14ac:dyDescent="0.35">
      <c r="B216" s="45"/>
      <c r="C216" s="46" t="str">
        <f t="shared" si="22"/>
        <v/>
      </c>
      <c r="D216" s="47" t="str">
        <f t="shared" si="23"/>
        <v/>
      </c>
      <c r="E216" s="46" t="str">
        <f t="shared" si="24"/>
        <v/>
      </c>
      <c r="I216" s="42"/>
      <c r="J216" s="42">
        <f t="shared" si="19"/>
        <v>0</v>
      </c>
      <c r="K216" s="42"/>
      <c r="L216" s="42"/>
      <c r="M216" s="42"/>
      <c r="N216" s="42"/>
      <c r="O216" s="42"/>
      <c r="P216" s="42">
        <f t="shared" si="20"/>
        <v>0</v>
      </c>
      <c r="Q216" s="42">
        <f t="shared" si="21"/>
        <v>0</v>
      </c>
      <c r="R216" s="42"/>
    </row>
    <row r="217" spans="2:18" x14ac:dyDescent="0.35">
      <c r="B217" s="45"/>
      <c r="C217" s="46" t="str">
        <f t="shared" si="22"/>
        <v/>
      </c>
      <c r="D217" s="47" t="str">
        <f t="shared" si="23"/>
        <v/>
      </c>
      <c r="E217" s="46" t="str">
        <f t="shared" si="24"/>
        <v/>
      </c>
      <c r="I217" s="42"/>
      <c r="J217" s="42">
        <f t="shared" si="19"/>
        <v>0</v>
      </c>
      <c r="K217" s="42"/>
      <c r="L217" s="42"/>
      <c r="M217" s="42"/>
      <c r="N217" s="42"/>
      <c r="O217" s="42"/>
      <c r="P217" s="42">
        <f t="shared" si="20"/>
        <v>0</v>
      </c>
      <c r="Q217" s="42">
        <f t="shared" si="21"/>
        <v>0</v>
      </c>
      <c r="R217" s="42"/>
    </row>
    <row r="218" spans="2:18" x14ac:dyDescent="0.35">
      <c r="B218" s="45"/>
      <c r="C218" s="46" t="str">
        <f t="shared" si="22"/>
        <v/>
      </c>
      <c r="D218" s="47" t="str">
        <f t="shared" si="23"/>
        <v/>
      </c>
      <c r="E218" s="46" t="str">
        <f t="shared" si="24"/>
        <v/>
      </c>
      <c r="I218" s="42"/>
      <c r="J218" s="42">
        <f t="shared" si="19"/>
        <v>0</v>
      </c>
      <c r="K218" s="42"/>
      <c r="L218" s="42"/>
      <c r="M218" s="42"/>
      <c r="N218" s="42"/>
      <c r="O218" s="42"/>
      <c r="P218" s="42">
        <f t="shared" si="20"/>
        <v>0</v>
      </c>
      <c r="Q218" s="42">
        <f t="shared" si="21"/>
        <v>0</v>
      </c>
      <c r="R218" s="42"/>
    </row>
    <row r="219" spans="2:18" x14ac:dyDescent="0.35">
      <c r="B219" s="45"/>
      <c r="C219" s="46" t="str">
        <f t="shared" si="22"/>
        <v/>
      </c>
      <c r="D219" s="47" t="str">
        <f t="shared" si="23"/>
        <v/>
      </c>
      <c r="E219" s="46" t="str">
        <f t="shared" si="24"/>
        <v/>
      </c>
      <c r="I219" s="42"/>
      <c r="J219" s="42">
        <f t="shared" si="19"/>
        <v>0</v>
      </c>
      <c r="K219" s="42"/>
      <c r="L219" s="42"/>
      <c r="M219" s="42"/>
      <c r="N219" s="42"/>
      <c r="O219" s="42"/>
      <c r="P219" s="42">
        <f t="shared" si="20"/>
        <v>0</v>
      </c>
      <c r="Q219" s="42">
        <f t="shared" si="21"/>
        <v>0</v>
      </c>
      <c r="R219" s="42"/>
    </row>
    <row r="220" spans="2:18" x14ac:dyDescent="0.35">
      <c r="B220" s="45"/>
      <c r="C220" s="46" t="str">
        <f t="shared" si="22"/>
        <v/>
      </c>
      <c r="D220" s="47" t="str">
        <f t="shared" si="23"/>
        <v/>
      </c>
      <c r="E220" s="46" t="str">
        <f t="shared" si="24"/>
        <v/>
      </c>
      <c r="I220" s="42"/>
      <c r="J220" s="42">
        <f t="shared" si="19"/>
        <v>0</v>
      </c>
      <c r="K220" s="42"/>
      <c r="L220" s="42"/>
      <c r="M220" s="42"/>
      <c r="N220" s="42"/>
      <c r="O220" s="42"/>
      <c r="P220" s="42">
        <f t="shared" si="20"/>
        <v>0</v>
      </c>
      <c r="Q220" s="42">
        <f t="shared" si="21"/>
        <v>0</v>
      </c>
      <c r="R220" s="42"/>
    </row>
    <row r="221" spans="2:18" x14ac:dyDescent="0.35">
      <c r="B221" s="45"/>
      <c r="C221" s="46" t="str">
        <f t="shared" si="22"/>
        <v/>
      </c>
      <c r="D221" s="47" t="str">
        <f t="shared" si="23"/>
        <v/>
      </c>
      <c r="E221" s="46" t="str">
        <f t="shared" si="24"/>
        <v/>
      </c>
      <c r="I221" s="42"/>
      <c r="J221" s="42">
        <f t="shared" si="19"/>
        <v>0</v>
      </c>
      <c r="K221" s="42"/>
      <c r="L221" s="42"/>
      <c r="M221" s="42"/>
      <c r="N221" s="42"/>
      <c r="O221" s="42"/>
      <c r="P221" s="42">
        <f t="shared" si="20"/>
        <v>0</v>
      </c>
      <c r="Q221" s="42">
        <f t="shared" si="21"/>
        <v>0</v>
      </c>
      <c r="R221" s="42"/>
    </row>
    <row r="222" spans="2:18" x14ac:dyDescent="0.35">
      <c r="B222" s="45"/>
      <c r="C222" s="46" t="str">
        <f t="shared" si="22"/>
        <v/>
      </c>
      <c r="D222" s="47" t="str">
        <f t="shared" si="23"/>
        <v/>
      </c>
      <c r="E222" s="46" t="str">
        <f t="shared" si="24"/>
        <v/>
      </c>
      <c r="I222" s="42"/>
      <c r="J222" s="42">
        <f t="shared" si="19"/>
        <v>0</v>
      </c>
      <c r="K222" s="42"/>
      <c r="L222" s="42"/>
      <c r="M222" s="42"/>
      <c r="N222" s="42"/>
      <c r="O222" s="42"/>
      <c r="P222" s="42">
        <f t="shared" si="20"/>
        <v>0</v>
      </c>
      <c r="Q222" s="42">
        <f t="shared" si="21"/>
        <v>0</v>
      </c>
      <c r="R222" s="42"/>
    </row>
    <row r="223" spans="2:18" x14ac:dyDescent="0.35">
      <c r="B223" s="45"/>
      <c r="C223" s="46" t="str">
        <f t="shared" si="22"/>
        <v/>
      </c>
      <c r="D223" s="47" t="str">
        <f t="shared" si="23"/>
        <v/>
      </c>
      <c r="E223" s="46" t="str">
        <f t="shared" si="24"/>
        <v/>
      </c>
      <c r="I223" s="42"/>
      <c r="J223" s="42">
        <f t="shared" si="19"/>
        <v>0</v>
      </c>
      <c r="K223" s="42"/>
      <c r="L223" s="42"/>
      <c r="M223" s="42"/>
      <c r="N223" s="42"/>
      <c r="O223" s="42"/>
      <c r="P223" s="42">
        <f t="shared" si="20"/>
        <v>0</v>
      </c>
      <c r="Q223" s="42">
        <f t="shared" si="21"/>
        <v>0</v>
      </c>
      <c r="R223" s="42"/>
    </row>
    <row r="224" spans="2:18" x14ac:dyDescent="0.35">
      <c r="B224" s="45"/>
      <c r="C224" s="46" t="str">
        <f t="shared" si="22"/>
        <v/>
      </c>
      <c r="D224" s="47" t="str">
        <f t="shared" si="23"/>
        <v/>
      </c>
      <c r="E224" s="46" t="str">
        <f t="shared" si="24"/>
        <v/>
      </c>
      <c r="I224" s="42"/>
      <c r="J224" s="42">
        <f t="shared" si="19"/>
        <v>0</v>
      </c>
      <c r="K224" s="42"/>
      <c r="L224" s="42"/>
      <c r="M224" s="42"/>
      <c r="N224" s="42"/>
      <c r="O224" s="42"/>
      <c r="P224" s="42">
        <f t="shared" si="20"/>
        <v>0</v>
      </c>
      <c r="Q224" s="42">
        <f t="shared" si="21"/>
        <v>0</v>
      </c>
      <c r="R224" s="42"/>
    </row>
    <row r="225" spans="2:18" x14ac:dyDescent="0.35">
      <c r="B225" s="45"/>
      <c r="C225" s="46" t="str">
        <f t="shared" si="22"/>
        <v/>
      </c>
      <c r="D225" s="47" t="str">
        <f t="shared" si="23"/>
        <v/>
      </c>
      <c r="E225" s="46" t="str">
        <f t="shared" si="24"/>
        <v/>
      </c>
      <c r="I225" s="42"/>
      <c r="J225" s="42">
        <f t="shared" si="19"/>
        <v>0</v>
      </c>
      <c r="K225" s="42"/>
      <c r="L225" s="42"/>
      <c r="M225" s="42"/>
      <c r="N225" s="42"/>
      <c r="O225" s="42"/>
      <c r="P225" s="42">
        <f t="shared" si="20"/>
        <v>0</v>
      </c>
      <c r="Q225" s="42">
        <f t="shared" si="21"/>
        <v>0</v>
      </c>
      <c r="R225" s="42"/>
    </row>
    <row r="226" spans="2:18" x14ac:dyDescent="0.35">
      <c r="B226" s="45"/>
      <c r="C226" s="46" t="str">
        <f t="shared" si="22"/>
        <v/>
      </c>
      <c r="D226" s="47" t="str">
        <f t="shared" si="23"/>
        <v/>
      </c>
      <c r="E226" s="46" t="str">
        <f t="shared" si="24"/>
        <v/>
      </c>
      <c r="I226" s="42"/>
      <c r="J226" s="42">
        <f t="shared" si="19"/>
        <v>0</v>
      </c>
      <c r="K226" s="42"/>
      <c r="L226" s="42"/>
      <c r="M226" s="42"/>
      <c r="N226" s="42"/>
      <c r="O226" s="42"/>
      <c r="P226" s="42">
        <f t="shared" si="20"/>
        <v>0</v>
      </c>
      <c r="Q226" s="42">
        <f t="shared" si="21"/>
        <v>0</v>
      </c>
      <c r="R226" s="42"/>
    </row>
    <row r="227" spans="2:18" x14ac:dyDescent="0.35">
      <c r="B227" s="45"/>
      <c r="C227" s="46" t="str">
        <f t="shared" si="22"/>
        <v/>
      </c>
      <c r="D227" s="47" t="str">
        <f t="shared" si="23"/>
        <v/>
      </c>
      <c r="E227" s="46" t="str">
        <f t="shared" si="24"/>
        <v/>
      </c>
      <c r="I227" s="42"/>
      <c r="J227" s="42">
        <f t="shared" ref="J227:J251" si="25">SUM(K227:O227)</f>
        <v>0</v>
      </c>
      <c r="K227" s="42"/>
      <c r="L227" s="42"/>
      <c r="M227" s="42"/>
      <c r="N227" s="42"/>
      <c r="O227" s="42"/>
      <c r="P227" s="42">
        <f t="shared" ref="P227:P251" si="26">IF(I227&gt;0,SUM(K227:N227)/I227,0)</f>
        <v>0</v>
      </c>
      <c r="Q227" s="42">
        <f t="shared" ref="Q227:Q251" si="27">IF(I227&gt;0,O227/I227,0)</f>
        <v>0</v>
      </c>
      <c r="R227" s="42"/>
    </row>
    <row r="228" spans="2:18" x14ac:dyDescent="0.35">
      <c r="B228" s="45"/>
      <c r="C228" s="46" t="str">
        <f t="shared" si="22"/>
        <v/>
      </c>
      <c r="D228" s="47" t="str">
        <f t="shared" si="23"/>
        <v/>
      </c>
      <c r="E228" s="46" t="str">
        <f t="shared" si="24"/>
        <v/>
      </c>
      <c r="I228" s="42"/>
      <c r="J228" s="42">
        <f t="shared" si="25"/>
        <v>0</v>
      </c>
      <c r="K228" s="42"/>
      <c r="L228" s="42"/>
      <c r="M228" s="42"/>
      <c r="N228" s="42"/>
      <c r="O228" s="42"/>
      <c r="P228" s="42">
        <f t="shared" si="26"/>
        <v>0</v>
      </c>
      <c r="Q228" s="42">
        <f t="shared" si="27"/>
        <v>0</v>
      </c>
      <c r="R228" s="42"/>
    </row>
    <row r="229" spans="2:18" x14ac:dyDescent="0.35">
      <c r="B229" s="45"/>
      <c r="C229" s="46" t="str">
        <f t="shared" si="22"/>
        <v/>
      </c>
      <c r="D229" s="47" t="str">
        <f t="shared" si="23"/>
        <v/>
      </c>
      <c r="E229" s="46" t="str">
        <f t="shared" si="24"/>
        <v/>
      </c>
      <c r="I229" s="42"/>
      <c r="J229" s="42">
        <f t="shared" si="25"/>
        <v>0</v>
      </c>
      <c r="K229" s="42"/>
      <c r="L229" s="42"/>
      <c r="M229" s="42"/>
      <c r="N229" s="42"/>
      <c r="O229" s="42"/>
      <c r="P229" s="42">
        <f t="shared" si="26"/>
        <v>0</v>
      </c>
      <c r="Q229" s="42">
        <f t="shared" si="27"/>
        <v>0</v>
      </c>
      <c r="R229" s="42"/>
    </row>
    <row r="230" spans="2:18" x14ac:dyDescent="0.35">
      <c r="B230" s="45"/>
      <c r="C230" s="46" t="str">
        <f t="shared" si="22"/>
        <v/>
      </c>
      <c r="D230" s="47" t="str">
        <f t="shared" si="23"/>
        <v/>
      </c>
      <c r="E230" s="46" t="str">
        <f t="shared" si="24"/>
        <v/>
      </c>
      <c r="I230" s="42"/>
      <c r="J230" s="42">
        <f t="shared" si="25"/>
        <v>0</v>
      </c>
      <c r="K230" s="42"/>
      <c r="L230" s="42"/>
      <c r="M230" s="42"/>
      <c r="N230" s="42"/>
      <c r="O230" s="42"/>
      <c r="P230" s="42">
        <f t="shared" si="26"/>
        <v>0</v>
      </c>
      <c r="Q230" s="42">
        <f t="shared" si="27"/>
        <v>0</v>
      </c>
      <c r="R230" s="42"/>
    </row>
    <row r="231" spans="2:18" x14ac:dyDescent="0.35">
      <c r="B231" s="45"/>
      <c r="C231" s="46" t="str">
        <f t="shared" si="22"/>
        <v/>
      </c>
      <c r="D231" s="47" t="str">
        <f t="shared" si="23"/>
        <v/>
      </c>
      <c r="E231" s="46" t="str">
        <f t="shared" si="24"/>
        <v/>
      </c>
      <c r="I231" s="42"/>
      <c r="J231" s="42">
        <f t="shared" si="25"/>
        <v>0</v>
      </c>
      <c r="K231" s="42"/>
      <c r="L231" s="42"/>
      <c r="M231" s="42"/>
      <c r="N231" s="42"/>
      <c r="O231" s="42"/>
      <c r="P231" s="42">
        <f t="shared" si="26"/>
        <v>0</v>
      </c>
      <c r="Q231" s="42">
        <f t="shared" si="27"/>
        <v>0</v>
      </c>
      <c r="R231" s="42"/>
    </row>
    <row r="232" spans="2:18" x14ac:dyDescent="0.35">
      <c r="B232" s="45"/>
      <c r="C232" s="46" t="str">
        <f t="shared" si="22"/>
        <v/>
      </c>
      <c r="D232" s="47" t="str">
        <f t="shared" si="23"/>
        <v/>
      </c>
      <c r="E232" s="46" t="str">
        <f t="shared" si="24"/>
        <v/>
      </c>
      <c r="I232" s="42"/>
      <c r="J232" s="42">
        <f t="shared" si="25"/>
        <v>0</v>
      </c>
      <c r="K232" s="42"/>
      <c r="L232" s="42"/>
      <c r="M232" s="42"/>
      <c r="N232" s="42"/>
      <c r="O232" s="42"/>
      <c r="P232" s="42">
        <f t="shared" si="26"/>
        <v>0</v>
      </c>
      <c r="Q232" s="42">
        <f t="shared" si="27"/>
        <v>0</v>
      </c>
      <c r="R232" s="42"/>
    </row>
    <row r="233" spans="2:18" x14ac:dyDescent="0.35">
      <c r="B233" s="45"/>
      <c r="C233" s="46" t="str">
        <f t="shared" si="22"/>
        <v/>
      </c>
      <c r="D233" s="47" t="str">
        <f t="shared" si="23"/>
        <v/>
      </c>
      <c r="E233" s="46" t="str">
        <f t="shared" si="24"/>
        <v/>
      </c>
      <c r="I233" s="42"/>
      <c r="J233" s="42">
        <f t="shared" si="25"/>
        <v>0</v>
      </c>
      <c r="K233" s="42"/>
      <c r="L233" s="42"/>
      <c r="M233" s="42"/>
      <c r="N233" s="42"/>
      <c r="O233" s="42"/>
      <c r="P233" s="42">
        <f t="shared" si="26"/>
        <v>0</v>
      </c>
      <c r="Q233" s="42">
        <f t="shared" si="27"/>
        <v>0</v>
      </c>
      <c r="R233" s="42"/>
    </row>
    <row r="234" spans="2:18" x14ac:dyDescent="0.35">
      <c r="B234" s="45"/>
      <c r="C234" s="46" t="str">
        <f t="shared" si="22"/>
        <v/>
      </c>
      <c r="D234" s="47" t="str">
        <f t="shared" si="23"/>
        <v/>
      </c>
      <c r="E234" s="46" t="str">
        <f t="shared" si="24"/>
        <v/>
      </c>
      <c r="I234" s="42"/>
      <c r="J234" s="42">
        <f t="shared" si="25"/>
        <v>0</v>
      </c>
      <c r="K234" s="42"/>
      <c r="L234" s="42"/>
      <c r="M234" s="42"/>
      <c r="N234" s="42"/>
      <c r="O234" s="42"/>
      <c r="P234" s="42">
        <f t="shared" si="26"/>
        <v>0</v>
      </c>
      <c r="Q234" s="42">
        <f t="shared" si="27"/>
        <v>0</v>
      </c>
      <c r="R234" s="42"/>
    </row>
    <row r="235" spans="2:18" x14ac:dyDescent="0.35">
      <c r="B235" s="45"/>
      <c r="C235" s="46" t="str">
        <f t="shared" si="22"/>
        <v/>
      </c>
      <c r="D235" s="47" t="str">
        <f t="shared" si="23"/>
        <v/>
      </c>
      <c r="E235" s="46" t="str">
        <f t="shared" si="24"/>
        <v/>
      </c>
      <c r="I235" s="42"/>
      <c r="J235" s="42">
        <f t="shared" si="25"/>
        <v>0</v>
      </c>
      <c r="K235" s="42"/>
      <c r="L235" s="42"/>
      <c r="M235" s="42"/>
      <c r="N235" s="42"/>
      <c r="O235" s="42"/>
      <c r="P235" s="42">
        <f t="shared" si="26"/>
        <v>0</v>
      </c>
      <c r="Q235" s="42">
        <f t="shared" si="27"/>
        <v>0</v>
      </c>
      <c r="R235" s="42"/>
    </row>
    <row r="236" spans="2:18" x14ac:dyDescent="0.35">
      <c r="B236" s="45"/>
      <c r="C236" s="46" t="str">
        <f t="shared" si="22"/>
        <v/>
      </c>
      <c r="D236" s="47" t="str">
        <f t="shared" si="23"/>
        <v/>
      </c>
      <c r="E236" s="46" t="str">
        <f t="shared" si="24"/>
        <v/>
      </c>
      <c r="I236" s="42"/>
      <c r="J236" s="42">
        <f t="shared" si="25"/>
        <v>0</v>
      </c>
      <c r="K236" s="42"/>
      <c r="L236" s="42"/>
      <c r="M236" s="42"/>
      <c r="N236" s="42"/>
      <c r="O236" s="42"/>
      <c r="P236" s="42">
        <f t="shared" si="26"/>
        <v>0</v>
      </c>
      <c r="Q236" s="42">
        <f t="shared" si="27"/>
        <v>0</v>
      </c>
      <c r="R236" s="42"/>
    </row>
    <row r="237" spans="2:18" x14ac:dyDescent="0.35">
      <c r="B237" s="45"/>
      <c r="C237" s="46" t="str">
        <f t="shared" si="22"/>
        <v/>
      </c>
      <c r="D237" s="47" t="str">
        <f t="shared" si="23"/>
        <v/>
      </c>
      <c r="E237" s="46" t="str">
        <f t="shared" si="24"/>
        <v/>
      </c>
      <c r="I237" s="42"/>
      <c r="J237" s="42">
        <f t="shared" si="25"/>
        <v>0</v>
      </c>
      <c r="K237" s="42"/>
      <c r="L237" s="42"/>
      <c r="M237" s="42"/>
      <c r="N237" s="42"/>
      <c r="O237" s="42"/>
      <c r="P237" s="42">
        <f t="shared" si="26"/>
        <v>0</v>
      </c>
      <c r="Q237" s="42">
        <f t="shared" si="27"/>
        <v>0</v>
      </c>
      <c r="R237" s="42"/>
    </row>
    <row r="238" spans="2:18" x14ac:dyDescent="0.35">
      <c r="B238" s="45"/>
      <c r="C238" s="46" t="str">
        <f t="shared" si="22"/>
        <v/>
      </c>
      <c r="D238" s="47" t="str">
        <f t="shared" si="23"/>
        <v/>
      </c>
      <c r="E238" s="46" t="str">
        <f t="shared" si="24"/>
        <v/>
      </c>
      <c r="I238" s="42"/>
      <c r="J238" s="42">
        <f t="shared" si="25"/>
        <v>0</v>
      </c>
      <c r="K238" s="42"/>
      <c r="L238" s="42"/>
      <c r="M238" s="42"/>
      <c r="N238" s="42"/>
      <c r="O238" s="42"/>
      <c r="P238" s="42">
        <f t="shared" si="26"/>
        <v>0</v>
      </c>
      <c r="Q238" s="42">
        <f t="shared" si="27"/>
        <v>0</v>
      </c>
      <c r="R238" s="42"/>
    </row>
    <row r="239" spans="2:18" x14ac:dyDescent="0.35">
      <c r="B239" s="45"/>
      <c r="C239" s="46" t="str">
        <f t="shared" si="22"/>
        <v/>
      </c>
      <c r="D239" s="47" t="str">
        <f t="shared" si="23"/>
        <v/>
      </c>
      <c r="E239" s="46" t="str">
        <f t="shared" si="24"/>
        <v/>
      </c>
      <c r="I239" s="42"/>
      <c r="J239" s="42">
        <f t="shared" si="25"/>
        <v>0</v>
      </c>
      <c r="K239" s="42"/>
      <c r="L239" s="42"/>
      <c r="M239" s="42"/>
      <c r="N239" s="42"/>
      <c r="O239" s="42"/>
      <c r="P239" s="42">
        <f t="shared" si="26"/>
        <v>0</v>
      </c>
      <c r="Q239" s="42">
        <f t="shared" si="27"/>
        <v>0</v>
      </c>
      <c r="R239" s="42"/>
    </row>
    <row r="240" spans="2:18" x14ac:dyDescent="0.35">
      <c r="B240" s="45"/>
      <c r="C240" s="46" t="str">
        <f t="shared" si="22"/>
        <v/>
      </c>
      <c r="D240" s="47" t="str">
        <f t="shared" si="23"/>
        <v/>
      </c>
      <c r="E240" s="46" t="str">
        <f t="shared" si="24"/>
        <v/>
      </c>
      <c r="I240" s="42"/>
      <c r="J240" s="42">
        <f t="shared" si="25"/>
        <v>0</v>
      </c>
      <c r="K240" s="42"/>
      <c r="L240" s="42"/>
      <c r="M240" s="42"/>
      <c r="N240" s="42"/>
      <c r="O240" s="42"/>
      <c r="P240" s="42">
        <f t="shared" si="26"/>
        <v>0</v>
      </c>
      <c r="Q240" s="42">
        <f t="shared" si="27"/>
        <v>0</v>
      </c>
      <c r="R240" s="42"/>
    </row>
    <row r="241" spans="2:18" x14ac:dyDescent="0.35">
      <c r="B241" s="45"/>
      <c r="C241" s="46" t="str">
        <f t="shared" si="22"/>
        <v/>
      </c>
      <c r="D241" s="47" t="str">
        <f t="shared" si="23"/>
        <v/>
      </c>
      <c r="E241" s="46" t="str">
        <f t="shared" si="24"/>
        <v/>
      </c>
      <c r="I241" s="42"/>
      <c r="J241" s="42">
        <f t="shared" si="25"/>
        <v>0</v>
      </c>
      <c r="K241" s="42"/>
      <c r="L241" s="42"/>
      <c r="M241" s="42"/>
      <c r="N241" s="42"/>
      <c r="O241" s="42"/>
      <c r="P241" s="42">
        <f t="shared" si="26"/>
        <v>0</v>
      </c>
      <c r="Q241" s="42">
        <f t="shared" si="27"/>
        <v>0</v>
      </c>
      <c r="R241" s="42"/>
    </row>
    <row r="242" spans="2:18" x14ac:dyDescent="0.35">
      <c r="B242" s="45"/>
      <c r="C242" s="46" t="str">
        <f t="shared" si="22"/>
        <v/>
      </c>
      <c r="D242" s="47" t="str">
        <f t="shared" si="23"/>
        <v/>
      </c>
      <c r="E242" s="46" t="str">
        <f t="shared" si="24"/>
        <v/>
      </c>
      <c r="I242" s="42"/>
      <c r="J242" s="42">
        <f t="shared" si="25"/>
        <v>0</v>
      </c>
      <c r="K242" s="42"/>
      <c r="L242" s="42"/>
      <c r="M242" s="42"/>
      <c r="N242" s="42"/>
      <c r="O242" s="42"/>
      <c r="P242" s="42">
        <f t="shared" si="26"/>
        <v>0</v>
      </c>
      <c r="Q242" s="42">
        <f t="shared" si="27"/>
        <v>0</v>
      </c>
      <c r="R242" s="42"/>
    </row>
    <row r="243" spans="2:18" x14ac:dyDescent="0.35">
      <c r="B243" s="45"/>
      <c r="C243" s="46" t="str">
        <f t="shared" si="22"/>
        <v/>
      </c>
      <c r="D243" s="47" t="str">
        <f t="shared" si="23"/>
        <v/>
      </c>
      <c r="E243" s="46" t="str">
        <f t="shared" si="24"/>
        <v/>
      </c>
      <c r="I243" s="42"/>
      <c r="J243" s="42">
        <f t="shared" si="25"/>
        <v>0</v>
      </c>
      <c r="K243" s="42"/>
      <c r="L243" s="42"/>
      <c r="M243" s="42"/>
      <c r="N243" s="42"/>
      <c r="O243" s="42"/>
      <c r="P243" s="42">
        <f t="shared" si="26"/>
        <v>0</v>
      </c>
      <c r="Q243" s="42">
        <f t="shared" si="27"/>
        <v>0</v>
      </c>
      <c r="R243" s="42"/>
    </row>
    <row r="244" spans="2:18" x14ac:dyDescent="0.35">
      <c r="B244" s="45"/>
      <c r="C244" s="46" t="str">
        <f t="shared" si="22"/>
        <v/>
      </c>
      <c r="D244" s="47" t="str">
        <f t="shared" si="23"/>
        <v/>
      </c>
      <c r="E244" s="46" t="str">
        <f t="shared" si="24"/>
        <v/>
      </c>
      <c r="I244" s="42"/>
      <c r="J244" s="42">
        <f t="shared" si="25"/>
        <v>0</v>
      </c>
      <c r="K244" s="42"/>
      <c r="L244" s="42"/>
      <c r="M244" s="42"/>
      <c r="N244" s="42"/>
      <c r="O244" s="42"/>
      <c r="P244" s="42">
        <f t="shared" si="26"/>
        <v>0</v>
      </c>
      <c r="Q244" s="42">
        <f t="shared" si="27"/>
        <v>0</v>
      </c>
      <c r="R244" s="42"/>
    </row>
    <row r="245" spans="2:18" x14ac:dyDescent="0.35">
      <c r="B245" s="45"/>
      <c r="C245" s="46" t="str">
        <f t="shared" si="22"/>
        <v/>
      </c>
      <c r="D245" s="47" t="str">
        <f t="shared" si="23"/>
        <v/>
      </c>
      <c r="E245" s="46" t="str">
        <f t="shared" si="24"/>
        <v/>
      </c>
      <c r="I245" s="42"/>
      <c r="J245" s="42">
        <f t="shared" si="25"/>
        <v>0</v>
      </c>
      <c r="K245" s="42"/>
      <c r="L245" s="42"/>
      <c r="M245" s="42"/>
      <c r="N245" s="42"/>
      <c r="O245" s="42"/>
      <c r="P245" s="42">
        <f t="shared" si="26"/>
        <v>0</v>
      </c>
      <c r="Q245" s="42">
        <f t="shared" si="27"/>
        <v>0</v>
      </c>
      <c r="R245" s="42"/>
    </row>
    <row r="246" spans="2:18" x14ac:dyDescent="0.35">
      <c r="B246" s="45"/>
      <c r="C246" s="46" t="str">
        <f t="shared" si="22"/>
        <v/>
      </c>
      <c r="D246" s="47" t="str">
        <f t="shared" si="23"/>
        <v/>
      </c>
      <c r="E246" s="46" t="str">
        <f t="shared" si="24"/>
        <v/>
      </c>
      <c r="I246" s="42"/>
      <c r="J246" s="42">
        <f t="shared" si="25"/>
        <v>0</v>
      </c>
      <c r="K246" s="42"/>
      <c r="L246" s="42"/>
      <c r="M246" s="42"/>
      <c r="N246" s="42"/>
      <c r="O246" s="42"/>
      <c r="P246" s="42">
        <f t="shared" si="26"/>
        <v>0</v>
      </c>
      <c r="Q246" s="42">
        <f t="shared" si="27"/>
        <v>0</v>
      </c>
      <c r="R246" s="42"/>
    </row>
    <row r="247" spans="2:18" x14ac:dyDescent="0.35">
      <c r="B247" s="45"/>
      <c r="C247" s="46" t="str">
        <f t="shared" si="22"/>
        <v/>
      </c>
      <c r="D247" s="47" t="str">
        <f t="shared" si="23"/>
        <v/>
      </c>
      <c r="E247" s="46" t="str">
        <f t="shared" si="24"/>
        <v/>
      </c>
      <c r="I247" s="42"/>
      <c r="J247" s="42">
        <f t="shared" si="25"/>
        <v>0</v>
      </c>
      <c r="K247" s="42"/>
      <c r="L247" s="42"/>
      <c r="M247" s="42"/>
      <c r="N247" s="42"/>
      <c r="O247" s="42"/>
      <c r="P247" s="42">
        <f t="shared" si="26"/>
        <v>0</v>
      </c>
      <c r="Q247" s="42">
        <f t="shared" si="27"/>
        <v>0</v>
      </c>
      <c r="R247" s="42"/>
    </row>
    <row r="248" spans="2:18" x14ac:dyDescent="0.35">
      <c r="B248" s="45"/>
      <c r="C248" s="46" t="str">
        <f t="shared" si="22"/>
        <v/>
      </c>
      <c r="D248" s="47" t="str">
        <f t="shared" si="23"/>
        <v/>
      </c>
      <c r="E248" s="46" t="str">
        <f t="shared" si="24"/>
        <v/>
      </c>
      <c r="I248" s="42"/>
      <c r="J248" s="42">
        <f t="shared" si="25"/>
        <v>0</v>
      </c>
      <c r="K248" s="42"/>
      <c r="L248" s="42"/>
      <c r="M248" s="42"/>
      <c r="N248" s="42"/>
      <c r="O248" s="42"/>
      <c r="P248" s="42">
        <f t="shared" si="26"/>
        <v>0</v>
      </c>
      <c r="Q248" s="42">
        <f t="shared" si="27"/>
        <v>0</v>
      </c>
      <c r="R248" s="42"/>
    </row>
    <row r="249" spans="2:18" x14ac:dyDescent="0.35">
      <c r="B249" s="45"/>
      <c r="C249" s="46" t="str">
        <f t="shared" si="22"/>
        <v/>
      </c>
      <c r="D249" s="47" t="str">
        <f t="shared" si="23"/>
        <v/>
      </c>
      <c r="E249" s="46" t="str">
        <f t="shared" si="24"/>
        <v/>
      </c>
      <c r="I249" s="42"/>
      <c r="J249" s="42">
        <f t="shared" si="25"/>
        <v>0</v>
      </c>
      <c r="K249" s="42"/>
      <c r="L249" s="42"/>
      <c r="M249" s="42"/>
      <c r="N249" s="42"/>
      <c r="O249" s="42"/>
      <c r="P249" s="42">
        <f t="shared" si="26"/>
        <v>0</v>
      </c>
      <c r="Q249" s="42">
        <f t="shared" si="27"/>
        <v>0</v>
      </c>
      <c r="R249" s="42"/>
    </row>
    <row r="250" spans="2:18" x14ac:dyDescent="0.35">
      <c r="B250" s="45"/>
      <c r="C250" s="46" t="str">
        <f t="shared" si="22"/>
        <v/>
      </c>
      <c r="D250" s="47" t="str">
        <f t="shared" si="23"/>
        <v/>
      </c>
      <c r="E250" s="46" t="str">
        <f t="shared" si="24"/>
        <v/>
      </c>
      <c r="I250" s="42"/>
      <c r="J250" s="42">
        <f t="shared" si="25"/>
        <v>0</v>
      </c>
      <c r="K250" s="42"/>
      <c r="L250" s="42"/>
      <c r="M250" s="42"/>
      <c r="N250" s="42"/>
      <c r="O250" s="42"/>
      <c r="P250" s="42">
        <f t="shared" si="26"/>
        <v>0</v>
      </c>
      <c r="Q250" s="42">
        <f t="shared" si="27"/>
        <v>0</v>
      </c>
      <c r="R250" s="42"/>
    </row>
    <row r="251" spans="2:18" x14ac:dyDescent="0.35">
      <c r="B251" s="45"/>
      <c r="C251" s="46" t="str">
        <f t="shared" si="22"/>
        <v/>
      </c>
      <c r="D251" s="47" t="str">
        <f t="shared" si="23"/>
        <v/>
      </c>
      <c r="E251" s="46" t="str">
        <f t="shared" si="24"/>
        <v/>
      </c>
      <c r="I251" s="42"/>
      <c r="J251" s="42">
        <f t="shared" si="25"/>
        <v>0</v>
      </c>
      <c r="K251" s="42"/>
      <c r="L251" s="42"/>
      <c r="M251" s="42"/>
      <c r="N251" s="42"/>
      <c r="O251" s="42"/>
      <c r="P251" s="42">
        <f t="shared" si="26"/>
        <v>0</v>
      </c>
      <c r="Q251" s="42">
        <f t="shared" si="27"/>
        <v>0</v>
      </c>
      <c r="R251" s="42"/>
    </row>
  </sheetData>
  <dataValidations count="1">
    <dataValidation type="date" allowBlank="1" showInputMessage="1" showErrorMessage="1" errorTitle="Fecha inválida" error="Ingrese una fecha válida entre 2020-01-01 y 2035-12-31." promptTitle="Fecha" prompt="Seleccione o escriba una fecha válida." sqref="B2:B251" xr:uid="{01729491-C10D-437B-B14F-A45853667CD3}">
      <formula1>43831</formula1>
      <formula2>49674</formula2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9"/>
  <sheetViews>
    <sheetView workbookViewId="0">
      <pane ySplit="1" topLeftCell="A128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17" customWidth="1"/>
    <col min="4" max="4" width="20" customWidth="1"/>
    <col min="5" max="5" width="14" customWidth="1"/>
    <col min="6" max="7" width="18" customWidth="1"/>
    <col min="8" max="14" width="14" customWidth="1"/>
    <col min="15" max="16" width="17" customWidth="1"/>
  </cols>
  <sheetData>
    <row r="1" spans="1:16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16</v>
      </c>
    </row>
    <row r="2" spans="1:16" x14ac:dyDescent="0.35">
      <c r="A2">
        <v>1</v>
      </c>
      <c r="B2" t="s">
        <v>55</v>
      </c>
      <c r="D2" t="s">
        <v>56</v>
      </c>
      <c r="E2" t="s">
        <v>57</v>
      </c>
      <c r="F2">
        <v>4</v>
      </c>
      <c r="G2" t="s">
        <v>58</v>
      </c>
      <c r="H2">
        <v>60</v>
      </c>
      <c r="I2" t="s">
        <v>59</v>
      </c>
      <c r="J2">
        <v>32</v>
      </c>
      <c r="K2">
        <v>1280</v>
      </c>
      <c r="L2" t="s">
        <v>60</v>
      </c>
      <c r="M2" t="s">
        <v>61</v>
      </c>
      <c r="N2">
        <v>2</v>
      </c>
      <c r="O2" t="s">
        <v>62</v>
      </c>
    </row>
    <row r="3" spans="1:16" x14ac:dyDescent="0.35">
      <c r="A3">
        <v>2</v>
      </c>
      <c r="B3" t="s">
        <v>55</v>
      </c>
      <c r="D3" t="s">
        <v>56</v>
      </c>
      <c r="E3" t="s">
        <v>57</v>
      </c>
      <c r="F3">
        <v>2</v>
      </c>
      <c r="G3" t="s">
        <v>58</v>
      </c>
      <c r="H3">
        <v>55</v>
      </c>
      <c r="I3" t="s">
        <v>59</v>
      </c>
      <c r="J3">
        <v>32</v>
      </c>
      <c r="K3">
        <v>640</v>
      </c>
      <c r="L3" t="s">
        <v>60</v>
      </c>
      <c r="M3" t="s">
        <v>61</v>
      </c>
      <c r="O3" t="s">
        <v>62</v>
      </c>
    </row>
    <row r="4" spans="1:16" x14ac:dyDescent="0.35">
      <c r="A4">
        <v>3</v>
      </c>
      <c r="B4" t="s">
        <v>55</v>
      </c>
      <c r="D4" t="s">
        <v>63</v>
      </c>
      <c r="E4" t="s">
        <v>57</v>
      </c>
      <c r="F4">
        <v>1</v>
      </c>
      <c r="G4" t="s">
        <v>64</v>
      </c>
      <c r="H4">
        <v>60</v>
      </c>
      <c r="I4" t="s">
        <v>60</v>
      </c>
      <c r="J4">
        <v>22</v>
      </c>
      <c r="K4">
        <v>220</v>
      </c>
      <c r="L4" t="s">
        <v>59</v>
      </c>
      <c r="M4" t="s">
        <v>61</v>
      </c>
      <c r="O4" t="s">
        <v>62</v>
      </c>
    </row>
    <row r="5" spans="1:16" x14ac:dyDescent="0.35">
      <c r="A5">
        <v>4</v>
      </c>
      <c r="B5" t="s">
        <v>55</v>
      </c>
      <c r="D5" t="s">
        <v>63</v>
      </c>
      <c r="E5" t="s">
        <v>57</v>
      </c>
      <c r="F5">
        <v>1</v>
      </c>
      <c r="G5" t="s">
        <v>64</v>
      </c>
      <c r="H5">
        <v>70</v>
      </c>
      <c r="I5" t="s">
        <v>60</v>
      </c>
      <c r="J5">
        <v>16</v>
      </c>
      <c r="K5">
        <v>160</v>
      </c>
      <c r="L5" t="s">
        <v>59</v>
      </c>
      <c r="M5" t="s">
        <v>65</v>
      </c>
      <c r="O5" t="s">
        <v>62</v>
      </c>
    </row>
    <row r="6" spans="1:16" x14ac:dyDescent="0.35">
      <c r="A6">
        <v>5</v>
      </c>
      <c r="B6" t="s">
        <v>66</v>
      </c>
      <c r="D6" t="s">
        <v>56</v>
      </c>
      <c r="E6" t="s">
        <v>57</v>
      </c>
      <c r="F6">
        <v>10</v>
      </c>
      <c r="G6" t="s">
        <v>64</v>
      </c>
      <c r="H6">
        <v>60</v>
      </c>
      <c r="I6" t="s">
        <v>59</v>
      </c>
      <c r="J6">
        <v>34</v>
      </c>
      <c r="K6">
        <v>3400</v>
      </c>
      <c r="L6" t="s">
        <v>60</v>
      </c>
      <c r="M6" t="s">
        <v>61</v>
      </c>
      <c r="O6" t="s">
        <v>62</v>
      </c>
    </row>
    <row r="7" spans="1:16" x14ac:dyDescent="0.35">
      <c r="A7">
        <v>6</v>
      </c>
      <c r="B7" t="s">
        <v>66</v>
      </c>
      <c r="D7" t="s">
        <v>56</v>
      </c>
      <c r="E7" t="s">
        <v>57</v>
      </c>
      <c r="F7">
        <v>5</v>
      </c>
      <c r="G7" t="s">
        <v>64</v>
      </c>
      <c r="H7">
        <v>55</v>
      </c>
      <c r="I7" t="s">
        <v>59</v>
      </c>
      <c r="J7">
        <v>34</v>
      </c>
      <c r="K7">
        <v>1700</v>
      </c>
      <c r="L7" t="s">
        <v>60</v>
      </c>
      <c r="M7" t="s">
        <v>61</v>
      </c>
      <c r="O7" t="s">
        <v>62</v>
      </c>
    </row>
    <row r="8" spans="1:16" x14ac:dyDescent="0.35">
      <c r="A8">
        <v>7</v>
      </c>
      <c r="B8" t="s">
        <v>67</v>
      </c>
      <c r="D8" t="s">
        <v>63</v>
      </c>
      <c r="E8" t="s">
        <v>57</v>
      </c>
      <c r="F8">
        <v>4</v>
      </c>
      <c r="G8" t="s">
        <v>64</v>
      </c>
      <c r="H8">
        <v>70</v>
      </c>
      <c r="I8" t="s">
        <v>60</v>
      </c>
      <c r="J8">
        <v>6</v>
      </c>
      <c r="K8">
        <v>600</v>
      </c>
      <c r="L8" t="s">
        <v>60</v>
      </c>
      <c r="M8" t="s">
        <v>61</v>
      </c>
      <c r="O8" t="s">
        <v>62</v>
      </c>
      <c r="P8" t="s">
        <v>68</v>
      </c>
    </row>
    <row r="9" spans="1:16" x14ac:dyDescent="0.35">
      <c r="A9">
        <v>8</v>
      </c>
      <c r="B9" t="s">
        <v>69</v>
      </c>
      <c r="F9">
        <v>0</v>
      </c>
      <c r="J9">
        <v>0</v>
      </c>
      <c r="K9">
        <v>8000</v>
      </c>
      <c r="O9" t="s">
        <v>70</v>
      </c>
    </row>
    <row r="10" spans="1:16" x14ac:dyDescent="0.35">
      <c r="A10">
        <v>9</v>
      </c>
      <c r="B10" t="s">
        <v>71</v>
      </c>
      <c r="D10" t="s">
        <v>63</v>
      </c>
      <c r="E10" t="s">
        <v>57</v>
      </c>
      <c r="F10">
        <v>5</v>
      </c>
      <c r="G10" t="s">
        <v>58</v>
      </c>
      <c r="H10">
        <v>60</v>
      </c>
      <c r="I10" t="s">
        <v>72</v>
      </c>
      <c r="J10">
        <v>30</v>
      </c>
      <c r="K10">
        <v>1500</v>
      </c>
      <c r="L10" t="s">
        <v>72</v>
      </c>
      <c r="M10" t="s">
        <v>61</v>
      </c>
      <c r="N10">
        <v>3</v>
      </c>
      <c r="O10" t="s">
        <v>62</v>
      </c>
      <c r="P10" t="s">
        <v>73</v>
      </c>
    </row>
    <row r="11" spans="1:16" x14ac:dyDescent="0.35">
      <c r="A11">
        <v>10</v>
      </c>
      <c r="B11" t="s">
        <v>71</v>
      </c>
      <c r="D11" t="s">
        <v>63</v>
      </c>
      <c r="E11" t="s">
        <v>74</v>
      </c>
      <c r="F11">
        <v>1</v>
      </c>
      <c r="G11" t="s">
        <v>58</v>
      </c>
      <c r="H11">
        <v>70</v>
      </c>
      <c r="I11" t="s">
        <v>72</v>
      </c>
      <c r="J11">
        <v>15</v>
      </c>
      <c r="K11">
        <v>150</v>
      </c>
      <c r="L11" t="s">
        <v>72</v>
      </c>
      <c r="M11" t="s">
        <v>61</v>
      </c>
      <c r="N11">
        <v>3</v>
      </c>
      <c r="O11" t="s">
        <v>62</v>
      </c>
    </row>
    <row r="12" spans="1:16" x14ac:dyDescent="0.35">
      <c r="A12">
        <v>11</v>
      </c>
      <c r="B12" t="s">
        <v>75</v>
      </c>
      <c r="D12" t="s">
        <v>63</v>
      </c>
      <c r="E12" t="s">
        <v>57</v>
      </c>
      <c r="F12">
        <v>1</v>
      </c>
      <c r="G12" t="s">
        <v>58</v>
      </c>
      <c r="H12">
        <v>70</v>
      </c>
      <c r="I12" t="s">
        <v>72</v>
      </c>
      <c r="J12">
        <v>35</v>
      </c>
      <c r="K12">
        <v>350</v>
      </c>
      <c r="L12" t="s">
        <v>72</v>
      </c>
      <c r="M12" t="s">
        <v>61</v>
      </c>
      <c r="N12">
        <v>4</v>
      </c>
      <c r="O12" t="s">
        <v>62</v>
      </c>
    </row>
    <row r="13" spans="1:16" x14ac:dyDescent="0.35">
      <c r="A13">
        <v>12</v>
      </c>
      <c r="B13" t="s">
        <v>75</v>
      </c>
      <c r="D13" t="s">
        <v>63</v>
      </c>
      <c r="E13" t="s">
        <v>74</v>
      </c>
      <c r="F13">
        <v>1</v>
      </c>
      <c r="G13" t="s">
        <v>64</v>
      </c>
      <c r="H13">
        <v>70</v>
      </c>
      <c r="I13" t="s">
        <v>72</v>
      </c>
      <c r="J13">
        <v>15</v>
      </c>
      <c r="K13">
        <v>150</v>
      </c>
      <c r="L13" t="s">
        <v>72</v>
      </c>
      <c r="M13" t="s">
        <v>61</v>
      </c>
      <c r="N13">
        <v>4</v>
      </c>
      <c r="O13" t="s">
        <v>62</v>
      </c>
    </row>
    <row r="14" spans="1:16" x14ac:dyDescent="0.35">
      <c r="A14">
        <v>13</v>
      </c>
      <c r="B14" t="s">
        <v>76</v>
      </c>
      <c r="D14" t="s">
        <v>77</v>
      </c>
      <c r="E14" t="s">
        <v>78</v>
      </c>
      <c r="F14">
        <v>0</v>
      </c>
      <c r="G14" t="s">
        <v>64</v>
      </c>
      <c r="H14">
        <v>70</v>
      </c>
      <c r="I14" t="s">
        <v>79</v>
      </c>
      <c r="J14">
        <v>150</v>
      </c>
      <c r="K14">
        <v>1500</v>
      </c>
      <c r="L14" t="s">
        <v>79</v>
      </c>
      <c r="M14" t="s">
        <v>61</v>
      </c>
      <c r="N14">
        <v>25</v>
      </c>
      <c r="O14" t="s">
        <v>62</v>
      </c>
      <c r="P14" t="s">
        <v>80</v>
      </c>
    </row>
    <row r="15" spans="1:16" x14ac:dyDescent="0.35">
      <c r="A15">
        <v>14</v>
      </c>
      <c r="B15" t="s">
        <v>76</v>
      </c>
      <c r="D15" t="s">
        <v>77</v>
      </c>
      <c r="E15" t="s">
        <v>78</v>
      </c>
      <c r="F15">
        <v>0</v>
      </c>
      <c r="G15" t="s">
        <v>58</v>
      </c>
      <c r="H15">
        <v>70</v>
      </c>
      <c r="I15" t="s">
        <v>79</v>
      </c>
      <c r="J15">
        <v>150</v>
      </c>
      <c r="K15">
        <v>1500</v>
      </c>
      <c r="L15" t="s">
        <v>79</v>
      </c>
      <c r="M15" t="s">
        <v>61</v>
      </c>
      <c r="N15">
        <v>25</v>
      </c>
      <c r="O15" t="s">
        <v>62</v>
      </c>
      <c r="P15" t="s">
        <v>80</v>
      </c>
    </row>
    <row r="16" spans="1:16" x14ac:dyDescent="0.35">
      <c r="A16">
        <v>15</v>
      </c>
      <c r="B16" t="s">
        <v>81</v>
      </c>
      <c r="D16" t="s">
        <v>63</v>
      </c>
      <c r="E16" t="s">
        <v>78</v>
      </c>
      <c r="F16">
        <v>0</v>
      </c>
      <c r="G16" t="s">
        <v>58</v>
      </c>
      <c r="H16">
        <v>70</v>
      </c>
      <c r="I16" t="s">
        <v>72</v>
      </c>
      <c r="J16">
        <v>100</v>
      </c>
      <c r="K16">
        <v>1000</v>
      </c>
      <c r="L16" t="s">
        <v>79</v>
      </c>
      <c r="M16" t="s">
        <v>61</v>
      </c>
      <c r="N16">
        <v>5</v>
      </c>
      <c r="O16" t="s">
        <v>62</v>
      </c>
    </row>
    <row r="17" spans="1:16" x14ac:dyDescent="0.35">
      <c r="A17">
        <v>16</v>
      </c>
      <c r="B17" t="s">
        <v>81</v>
      </c>
      <c r="D17" t="s">
        <v>63</v>
      </c>
      <c r="E17" t="s">
        <v>78</v>
      </c>
      <c r="F17">
        <v>0</v>
      </c>
      <c r="G17" t="s">
        <v>64</v>
      </c>
      <c r="H17">
        <v>70</v>
      </c>
      <c r="I17" t="s">
        <v>72</v>
      </c>
      <c r="J17">
        <v>196</v>
      </c>
      <c r="K17">
        <v>1960</v>
      </c>
      <c r="L17" t="s">
        <v>79</v>
      </c>
      <c r="M17" t="s">
        <v>61</v>
      </c>
      <c r="N17">
        <v>5</v>
      </c>
      <c r="O17" t="s">
        <v>62</v>
      </c>
    </row>
    <row r="18" spans="1:16" x14ac:dyDescent="0.35">
      <c r="A18">
        <v>17</v>
      </c>
      <c r="B18" t="s">
        <v>82</v>
      </c>
      <c r="D18" t="s">
        <v>63</v>
      </c>
      <c r="E18" t="s">
        <v>57</v>
      </c>
      <c r="F18">
        <v>5</v>
      </c>
      <c r="G18" t="s">
        <v>64</v>
      </c>
      <c r="H18">
        <v>50</v>
      </c>
      <c r="I18" t="s">
        <v>72</v>
      </c>
      <c r="J18">
        <v>40</v>
      </c>
      <c r="K18">
        <v>2000</v>
      </c>
      <c r="L18" t="s">
        <v>72</v>
      </c>
      <c r="M18" t="s">
        <v>61</v>
      </c>
      <c r="N18">
        <v>6</v>
      </c>
      <c r="O18" t="s">
        <v>62</v>
      </c>
      <c r="P18" t="s">
        <v>83</v>
      </c>
    </row>
    <row r="19" spans="1:16" x14ac:dyDescent="0.35">
      <c r="A19">
        <v>18</v>
      </c>
      <c r="B19" t="s">
        <v>84</v>
      </c>
      <c r="D19" t="s">
        <v>77</v>
      </c>
      <c r="E19" t="s">
        <v>78</v>
      </c>
      <c r="F19">
        <v>0</v>
      </c>
      <c r="G19" t="s">
        <v>64</v>
      </c>
      <c r="H19">
        <v>70</v>
      </c>
      <c r="I19" t="s">
        <v>72</v>
      </c>
      <c r="J19">
        <v>150</v>
      </c>
      <c r="K19">
        <v>1500</v>
      </c>
      <c r="L19" t="s">
        <v>79</v>
      </c>
      <c r="M19" t="s">
        <v>61</v>
      </c>
      <c r="N19">
        <v>25</v>
      </c>
      <c r="O19" t="s">
        <v>62</v>
      </c>
      <c r="P19" t="s">
        <v>80</v>
      </c>
    </row>
    <row r="20" spans="1:16" x14ac:dyDescent="0.35">
      <c r="A20">
        <v>19</v>
      </c>
      <c r="B20" t="s">
        <v>84</v>
      </c>
      <c r="D20" t="s">
        <v>63</v>
      </c>
      <c r="E20" t="s">
        <v>74</v>
      </c>
      <c r="F20">
        <v>4</v>
      </c>
      <c r="G20" t="s">
        <v>58</v>
      </c>
      <c r="H20">
        <v>70</v>
      </c>
      <c r="I20" t="s">
        <v>72</v>
      </c>
      <c r="J20">
        <v>25</v>
      </c>
      <c r="K20">
        <v>1000</v>
      </c>
      <c r="L20" t="s">
        <v>72</v>
      </c>
      <c r="M20" t="s">
        <v>61</v>
      </c>
      <c r="N20">
        <v>7</v>
      </c>
      <c r="O20" t="s">
        <v>62</v>
      </c>
    </row>
    <row r="21" spans="1:16" x14ac:dyDescent="0.35">
      <c r="A21">
        <v>20</v>
      </c>
      <c r="B21" t="s">
        <v>84</v>
      </c>
      <c r="D21" t="s">
        <v>63</v>
      </c>
      <c r="E21" t="s">
        <v>74</v>
      </c>
      <c r="F21">
        <v>7</v>
      </c>
      <c r="G21" t="s">
        <v>64</v>
      </c>
      <c r="H21">
        <v>70</v>
      </c>
      <c r="I21" t="s">
        <v>72</v>
      </c>
      <c r="J21">
        <v>25</v>
      </c>
      <c r="K21">
        <v>1750</v>
      </c>
      <c r="L21" t="s">
        <v>72</v>
      </c>
      <c r="M21" t="s">
        <v>61</v>
      </c>
      <c r="N21">
        <v>7</v>
      </c>
      <c r="O21" t="s">
        <v>62</v>
      </c>
    </row>
    <row r="22" spans="1:16" x14ac:dyDescent="0.35">
      <c r="A22">
        <v>21</v>
      </c>
      <c r="B22" t="s">
        <v>85</v>
      </c>
      <c r="D22" t="s">
        <v>63</v>
      </c>
      <c r="E22" t="s">
        <v>57</v>
      </c>
      <c r="F22">
        <v>5</v>
      </c>
      <c r="G22" t="s">
        <v>64</v>
      </c>
      <c r="H22">
        <v>70</v>
      </c>
      <c r="I22" t="s">
        <v>72</v>
      </c>
      <c r="J22">
        <v>30</v>
      </c>
      <c r="K22">
        <v>1500</v>
      </c>
      <c r="L22" t="s">
        <v>72</v>
      </c>
      <c r="M22" t="s">
        <v>61</v>
      </c>
      <c r="N22">
        <v>8</v>
      </c>
      <c r="O22" t="s">
        <v>62</v>
      </c>
    </row>
    <row r="23" spans="1:16" x14ac:dyDescent="0.35">
      <c r="A23">
        <v>22</v>
      </c>
      <c r="B23" t="s">
        <v>85</v>
      </c>
      <c r="D23" t="s">
        <v>63</v>
      </c>
      <c r="E23" t="s">
        <v>57</v>
      </c>
      <c r="F23">
        <v>4</v>
      </c>
      <c r="G23" t="s">
        <v>64</v>
      </c>
      <c r="H23">
        <v>50</v>
      </c>
      <c r="I23" t="s">
        <v>72</v>
      </c>
      <c r="J23">
        <v>40</v>
      </c>
      <c r="K23">
        <v>1600</v>
      </c>
      <c r="L23" t="s">
        <v>72</v>
      </c>
      <c r="M23" t="s">
        <v>61</v>
      </c>
      <c r="N23">
        <v>8</v>
      </c>
      <c r="O23" t="s">
        <v>62</v>
      </c>
      <c r="P23" t="s">
        <v>83</v>
      </c>
    </row>
    <row r="24" spans="1:16" x14ac:dyDescent="0.35">
      <c r="A24">
        <v>23</v>
      </c>
      <c r="B24" t="s">
        <v>85</v>
      </c>
      <c r="D24" t="s">
        <v>63</v>
      </c>
      <c r="E24" t="s">
        <v>74</v>
      </c>
      <c r="F24">
        <v>3</v>
      </c>
      <c r="G24" t="s">
        <v>64</v>
      </c>
      <c r="H24">
        <v>70</v>
      </c>
      <c r="I24" t="s">
        <v>72</v>
      </c>
      <c r="J24">
        <v>45</v>
      </c>
      <c r="K24">
        <v>450</v>
      </c>
      <c r="L24" t="s">
        <v>72</v>
      </c>
      <c r="M24" t="s">
        <v>61</v>
      </c>
      <c r="N24">
        <v>8</v>
      </c>
      <c r="O24" t="s">
        <v>62</v>
      </c>
    </row>
    <row r="25" spans="1:16" x14ac:dyDescent="0.35">
      <c r="A25">
        <v>24</v>
      </c>
      <c r="B25" t="s">
        <v>86</v>
      </c>
      <c r="D25" t="s">
        <v>63</v>
      </c>
      <c r="E25" t="s">
        <v>57</v>
      </c>
      <c r="F25">
        <v>2</v>
      </c>
      <c r="G25" t="s">
        <v>64</v>
      </c>
      <c r="H25">
        <v>50</v>
      </c>
      <c r="I25" t="s">
        <v>72</v>
      </c>
      <c r="J25">
        <v>40</v>
      </c>
      <c r="K25">
        <v>800</v>
      </c>
      <c r="L25" t="s">
        <v>72</v>
      </c>
      <c r="M25" t="s">
        <v>61</v>
      </c>
      <c r="N25">
        <v>13</v>
      </c>
      <c r="O25" t="s">
        <v>62</v>
      </c>
      <c r="P25" t="s">
        <v>83</v>
      </c>
    </row>
    <row r="26" spans="1:16" x14ac:dyDescent="0.35">
      <c r="A26">
        <v>25</v>
      </c>
      <c r="B26" t="s">
        <v>86</v>
      </c>
      <c r="D26" t="s">
        <v>63</v>
      </c>
      <c r="E26" t="s">
        <v>57</v>
      </c>
      <c r="F26">
        <v>1</v>
      </c>
      <c r="G26" t="s">
        <v>64</v>
      </c>
      <c r="H26">
        <v>70</v>
      </c>
      <c r="I26" t="s">
        <v>72</v>
      </c>
      <c r="J26">
        <v>15</v>
      </c>
      <c r="K26">
        <v>150</v>
      </c>
      <c r="L26" t="s">
        <v>72</v>
      </c>
      <c r="M26" t="s">
        <v>61</v>
      </c>
      <c r="N26">
        <v>13</v>
      </c>
      <c r="O26" t="s">
        <v>62</v>
      </c>
    </row>
    <row r="27" spans="1:16" x14ac:dyDescent="0.35">
      <c r="A27">
        <v>26</v>
      </c>
      <c r="B27" t="s">
        <v>86</v>
      </c>
      <c r="D27" t="s">
        <v>63</v>
      </c>
      <c r="E27" t="s">
        <v>57</v>
      </c>
      <c r="F27">
        <v>1</v>
      </c>
      <c r="G27" t="s">
        <v>64</v>
      </c>
      <c r="H27">
        <v>70</v>
      </c>
      <c r="I27" t="s">
        <v>72</v>
      </c>
      <c r="J27">
        <v>30</v>
      </c>
      <c r="K27">
        <v>300</v>
      </c>
      <c r="L27" t="s">
        <v>72</v>
      </c>
      <c r="M27" t="s">
        <v>61</v>
      </c>
      <c r="N27">
        <v>13</v>
      </c>
      <c r="O27" t="s">
        <v>62</v>
      </c>
    </row>
    <row r="28" spans="1:16" x14ac:dyDescent="0.35">
      <c r="A28">
        <v>27</v>
      </c>
      <c r="B28" t="s">
        <v>86</v>
      </c>
      <c r="D28" t="s">
        <v>63</v>
      </c>
      <c r="E28" t="s">
        <v>74</v>
      </c>
      <c r="F28">
        <v>1</v>
      </c>
      <c r="G28" t="s">
        <v>64</v>
      </c>
      <c r="H28">
        <v>55</v>
      </c>
      <c r="I28" t="s">
        <v>72</v>
      </c>
      <c r="J28">
        <v>20</v>
      </c>
      <c r="K28">
        <v>200</v>
      </c>
      <c r="L28" t="s">
        <v>72</v>
      </c>
      <c r="M28" t="s">
        <v>61</v>
      </c>
      <c r="N28">
        <v>13</v>
      </c>
      <c r="O28" t="s">
        <v>62</v>
      </c>
    </row>
    <row r="29" spans="1:16" x14ac:dyDescent="0.35">
      <c r="A29">
        <v>28</v>
      </c>
      <c r="B29" t="s">
        <v>87</v>
      </c>
      <c r="D29" t="s">
        <v>63</v>
      </c>
      <c r="E29" t="s">
        <v>57</v>
      </c>
      <c r="F29">
        <v>3</v>
      </c>
      <c r="G29" t="s">
        <v>64</v>
      </c>
      <c r="H29">
        <v>60</v>
      </c>
      <c r="I29" t="s">
        <v>72</v>
      </c>
      <c r="J29">
        <v>27</v>
      </c>
      <c r="K29">
        <v>810</v>
      </c>
      <c r="L29" t="s">
        <v>72</v>
      </c>
      <c r="M29" t="s">
        <v>61</v>
      </c>
      <c r="N29">
        <v>15</v>
      </c>
      <c r="O29" t="s">
        <v>62</v>
      </c>
    </row>
    <row r="30" spans="1:16" x14ac:dyDescent="0.35">
      <c r="A30">
        <v>29</v>
      </c>
      <c r="B30" t="s">
        <v>87</v>
      </c>
      <c r="D30" t="s">
        <v>63</v>
      </c>
      <c r="E30" t="s">
        <v>57</v>
      </c>
      <c r="F30">
        <v>15</v>
      </c>
      <c r="G30" t="s">
        <v>64</v>
      </c>
      <c r="H30">
        <v>70</v>
      </c>
      <c r="I30" t="s">
        <v>72</v>
      </c>
      <c r="J30">
        <v>25</v>
      </c>
      <c r="K30">
        <v>3750</v>
      </c>
      <c r="L30" t="s">
        <v>72</v>
      </c>
      <c r="M30" t="s">
        <v>61</v>
      </c>
      <c r="N30">
        <v>15</v>
      </c>
      <c r="O30" t="s">
        <v>62</v>
      </c>
    </row>
    <row r="31" spans="1:16" x14ac:dyDescent="0.35">
      <c r="A31">
        <v>30</v>
      </c>
      <c r="B31" t="s">
        <v>87</v>
      </c>
      <c r="D31" t="s">
        <v>56</v>
      </c>
      <c r="E31" t="s">
        <v>57</v>
      </c>
      <c r="F31">
        <v>10</v>
      </c>
      <c r="G31" t="s">
        <v>58</v>
      </c>
      <c r="H31">
        <v>60</v>
      </c>
      <c r="I31" t="s">
        <v>72</v>
      </c>
      <c r="J31">
        <v>31</v>
      </c>
      <c r="K31">
        <v>3200</v>
      </c>
      <c r="L31" t="s">
        <v>72</v>
      </c>
      <c r="M31" t="s">
        <v>61</v>
      </c>
      <c r="N31">
        <v>15</v>
      </c>
      <c r="O31" t="s">
        <v>62</v>
      </c>
    </row>
    <row r="32" spans="1:16" x14ac:dyDescent="0.35">
      <c r="A32">
        <v>31</v>
      </c>
      <c r="B32" t="s">
        <v>87</v>
      </c>
      <c r="D32" t="s">
        <v>63</v>
      </c>
      <c r="E32" t="s">
        <v>57</v>
      </c>
      <c r="F32">
        <v>1</v>
      </c>
      <c r="G32" t="s">
        <v>64</v>
      </c>
      <c r="H32">
        <v>50</v>
      </c>
      <c r="I32" t="s">
        <v>72</v>
      </c>
      <c r="J32">
        <v>40</v>
      </c>
      <c r="K32">
        <v>400</v>
      </c>
      <c r="L32" t="s">
        <v>72</v>
      </c>
      <c r="M32" t="s">
        <v>61</v>
      </c>
      <c r="N32">
        <v>15</v>
      </c>
      <c r="O32" t="s">
        <v>62</v>
      </c>
    </row>
    <row r="33" spans="1:16" x14ac:dyDescent="0.35">
      <c r="A33">
        <v>32</v>
      </c>
      <c r="B33" t="s">
        <v>88</v>
      </c>
      <c r="D33" t="s">
        <v>63</v>
      </c>
      <c r="E33" t="s">
        <v>57</v>
      </c>
      <c r="F33">
        <v>1</v>
      </c>
      <c r="G33" t="s">
        <v>64</v>
      </c>
      <c r="H33">
        <v>60</v>
      </c>
      <c r="I33" t="s">
        <v>72</v>
      </c>
      <c r="J33">
        <v>30</v>
      </c>
      <c r="K33">
        <v>300</v>
      </c>
      <c r="L33" t="s">
        <v>72</v>
      </c>
      <c r="M33" t="s">
        <v>61</v>
      </c>
      <c r="N33">
        <v>14</v>
      </c>
      <c r="O33" t="s">
        <v>62</v>
      </c>
    </row>
    <row r="34" spans="1:16" x14ac:dyDescent="0.35">
      <c r="A34">
        <v>33</v>
      </c>
      <c r="B34" t="s">
        <v>88</v>
      </c>
      <c r="D34" t="s">
        <v>63</v>
      </c>
      <c r="E34" t="s">
        <v>74</v>
      </c>
      <c r="F34">
        <v>4</v>
      </c>
      <c r="G34" t="s">
        <v>64</v>
      </c>
      <c r="H34">
        <v>55</v>
      </c>
      <c r="I34" t="s">
        <v>72</v>
      </c>
      <c r="J34">
        <v>18</v>
      </c>
      <c r="K34">
        <v>720</v>
      </c>
      <c r="L34" t="s">
        <v>72</v>
      </c>
      <c r="M34" t="s">
        <v>61</v>
      </c>
      <c r="N34">
        <v>14</v>
      </c>
      <c r="O34" t="s">
        <v>62</v>
      </c>
    </row>
    <row r="35" spans="1:16" x14ac:dyDescent="0.35">
      <c r="A35">
        <v>34</v>
      </c>
      <c r="B35" t="s">
        <v>88</v>
      </c>
      <c r="D35" t="s">
        <v>63</v>
      </c>
      <c r="E35" t="s">
        <v>57</v>
      </c>
      <c r="F35">
        <v>2</v>
      </c>
      <c r="G35" t="s">
        <v>64</v>
      </c>
      <c r="H35">
        <v>55</v>
      </c>
      <c r="I35" t="s">
        <v>72</v>
      </c>
      <c r="J35">
        <v>25</v>
      </c>
      <c r="K35">
        <v>500</v>
      </c>
      <c r="L35" t="s">
        <v>72</v>
      </c>
      <c r="M35" t="s">
        <v>61</v>
      </c>
      <c r="N35">
        <v>14</v>
      </c>
      <c r="O35" t="s">
        <v>62</v>
      </c>
      <c r="P35" t="s">
        <v>73</v>
      </c>
    </row>
    <row r="36" spans="1:16" x14ac:dyDescent="0.35">
      <c r="A36">
        <v>35</v>
      </c>
      <c r="B36" t="s">
        <v>89</v>
      </c>
      <c r="D36" t="s">
        <v>63</v>
      </c>
      <c r="E36" t="s">
        <v>74</v>
      </c>
      <c r="F36">
        <v>2</v>
      </c>
      <c r="G36" t="s">
        <v>64</v>
      </c>
      <c r="H36">
        <v>55</v>
      </c>
      <c r="I36" t="s">
        <v>72</v>
      </c>
      <c r="J36">
        <v>18</v>
      </c>
      <c r="K36">
        <v>360</v>
      </c>
      <c r="L36" t="s">
        <v>72</v>
      </c>
      <c r="M36" t="s">
        <v>61</v>
      </c>
      <c r="N36">
        <v>17</v>
      </c>
      <c r="O36" t="s">
        <v>62</v>
      </c>
    </row>
    <row r="37" spans="1:16" x14ac:dyDescent="0.35">
      <c r="A37">
        <v>36</v>
      </c>
      <c r="B37" t="s">
        <v>89</v>
      </c>
      <c r="D37" t="s">
        <v>63</v>
      </c>
      <c r="E37" t="s">
        <v>57</v>
      </c>
      <c r="F37">
        <v>2</v>
      </c>
      <c r="G37" t="s">
        <v>64</v>
      </c>
      <c r="H37">
        <v>50</v>
      </c>
      <c r="I37" t="s">
        <v>72</v>
      </c>
      <c r="J37">
        <v>40</v>
      </c>
      <c r="K37">
        <v>800</v>
      </c>
      <c r="L37" t="s">
        <v>72</v>
      </c>
      <c r="M37" t="s">
        <v>61</v>
      </c>
      <c r="N37">
        <v>17</v>
      </c>
      <c r="O37" t="s">
        <v>62</v>
      </c>
    </row>
    <row r="38" spans="1:16" x14ac:dyDescent="0.35">
      <c r="A38">
        <v>37</v>
      </c>
      <c r="B38" t="s">
        <v>89</v>
      </c>
      <c r="D38" t="s">
        <v>63</v>
      </c>
      <c r="E38" t="s">
        <v>57</v>
      </c>
      <c r="F38">
        <v>2</v>
      </c>
      <c r="G38" t="s">
        <v>58</v>
      </c>
      <c r="H38">
        <v>50</v>
      </c>
      <c r="I38" t="s">
        <v>72</v>
      </c>
      <c r="J38">
        <v>40</v>
      </c>
      <c r="K38">
        <v>800</v>
      </c>
      <c r="L38" t="s">
        <v>72</v>
      </c>
      <c r="M38" t="s">
        <v>61</v>
      </c>
      <c r="N38">
        <v>17</v>
      </c>
      <c r="O38" t="s">
        <v>62</v>
      </c>
    </row>
    <row r="39" spans="1:16" x14ac:dyDescent="0.35">
      <c r="A39">
        <v>38</v>
      </c>
      <c r="B39" t="s">
        <v>90</v>
      </c>
      <c r="D39" t="s">
        <v>63</v>
      </c>
      <c r="E39" t="s">
        <v>74</v>
      </c>
      <c r="F39">
        <v>2</v>
      </c>
      <c r="G39" t="s">
        <v>64</v>
      </c>
      <c r="H39">
        <v>60</v>
      </c>
      <c r="I39" t="s">
        <v>72</v>
      </c>
      <c r="J39">
        <v>15</v>
      </c>
      <c r="K39">
        <v>300</v>
      </c>
      <c r="L39" t="s">
        <v>72</v>
      </c>
      <c r="M39" t="s">
        <v>61</v>
      </c>
      <c r="N39">
        <v>18</v>
      </c>
      <c r="O39" t="s">
        <v>62</v>
      </c>
    </row>
    <row r="40" spans="1:16" x14ac:dyDescent="0.35">
      <c r="A40">
        <v>39</v>
      </c>
      <c r="B40" t="s">
        <v>90</v>
      </c>
      <c r="D40" t="s">
        <v>63</v>
      </c>
      <c r="E40" t="s">
        <v>74</v>
      </c>
      <c r="F40">
        <v>1</v>
      </c>
      <c r="G40" t="s">
        <v>91</v>
      </c>
      <c r="H40">
        <v>70</v>
      </c>
      <c r="I40" t="s">
        <v>72</v>
      </c>
      <c r="J40">
        <v>12</v>
      </c>
      <c r="K40">
        <v>120</v>
      </c>
      <c r="L40" t="s">
        <v>72</v>
      </c>
      <c r="M40" t="s">
        <v>61</v>
      </c>
      <c r="N40">
        <v>18</v>
      </c>
      <c r="O40" t="s">
        <v>62</v>
      </c>
    </row>
    <row r="41" spans="1:16" x14ac:dyDescent="0.35">
      <c r="A41">
        <v>40</v>
      </c>
      <c r="B41" t="s">
        <v>92</v>
      </c>
      <c r="D41" t="s">
        <v>63</v>
      </c>
      <c r="E41" t="s">
        <v>57</v>
      </c>
      <c r="F41">
        <v>9</v>
      </c>
      <c r="G41" t="s">
        <v>58</v>
      </c>
      <c r="H41">
        <v>70</v>
      </c>
      <c r="I41" t="s">
        <v>72</v>
      </c>
      <c r="J41">
        <v>28</v>
      </c>
      <c r="K41">
        <v>2520</v>
      </c>
      <c r="L41" t="s">
        <v>72</v>
      </c>
      <c r="M41" t="s">
        <v>61</v>
      </c>
      <c r="N41">
        <v>19</v>
      </c>
      <c r="O41" t="s">
        <v>62</v>
      </c>
      <c r="P41" t="s">
        <v>73</v>
      </c>
    </row>
    <row r="42" spans="1:16" x14ac:dyDescent="0.35">
      <c r="A42">
        <v>41</v>
      </c>
      <c r="B42" t="s">
        <v>92</v>
      </c>
      <c r="D42" t="s">
        <v>63</v>
      </c>
      <c r="E42" t="s">
        <v>57</v>
      </c>
      <c r="F42">
        <v>6</v>
      </c>
      <c r="G42" t="s">
        <v>58</v>
      </c>
      <c r="H42">
        <v>60</v>
      </c>
      <c r="I42" t="s">
        <v>72</v>
      </c>
      <c r="J42">
        <v>30</v>
      </c>
      <c r="K42">
        <v>1800</v>
      </c>
      <c r="L42" t="s">
        <v>72</v>
      </c>
      <c r="M42" t="s">
        <v>61</v>
      </c>
      <c r="N42">
        <v>19</v>
      </c>
      <c r="O42" t="s">
        <v>62</v>
      </c>
      <c r="P42" t="s">
        <v>73</v>
      </c>
    </row>
    <row r="43" spans="1:16" x14ac:dyDescent="0.35">
      <c r="A43">
        <v>42</v>
      </c>
      <c r="B43" t="s">
        <v>93</v>
      </c>
      <c r="F43">
        <v>0</v>
      </c>
      <c r="J43">
        <v>0</v>
      </c>
      <c r="K43">
        <v>35740</v>
      </c>
      <c r="O43" t="s">
        <v>70</v>
      </c>
    </row>
    <row r="44" spans="1:16" x14ac:dyDescent="0.35">
      <c r="A44">
        <v>43</v>
      </c>
      <c r="B44" t="s">
        <v>94</v>
      </c>
      <c r="D44" t="s">
        <v>63</v>
      </c>
      <c r="E44" t="s">
        <v>57</v>
      </c>
      <c r="F44">
        <v>10</v>
      </c>
      <c r="G44" t="s">
        <v>64</v>
      </c>
      <c r="H44">
        <v>60</v>
      </c>
      <c r="I44" t="s">
        <v>79</v>
      </c>
      <c r="J44">
        <v>32</v>
      </c>
      <c r="K44">
        <v>3200</v>
      </c>
      <c r="L44" t="s">
        <v>72</v>
      </c>
      <c r="M44" t="s">
        <v>61</v>
      </c>
      <c r="N44">
        <v>20</v>
      </c>
      <c r="O44" t="s">
        <v>62</v>
      </c>
    </row>
    <row r="45" spans="1:16" x14ac:dyDescent="0.35">
      <c r="A45">
        <v>44</v>
      </c>
      <c r="B45" t="s">
        <v>94</v>
      </c>
      <c r="D45" t="s">
        <v>77</v>
      </c>
      <c r="E45" t="s">
        <v>57</v>
      </c>
      <c r="F45">
        <v>3</v>
      </c>
      <c r="G45" t="s">
        <v>91</v>
      </c>
      <c r="H45">
        <v>70</v>
      </c>
      <c r="I45" t="s">
        <v>72</v>
      </c>
      <c r="J45">
        <v>30</v>
      </c>
      <c r="K45">
        <v>1000</v>
      </c>
      <c r="L45" t="s">
        <v>79</v>
      </c>
      <c r="M45" t="s">
        <v>61</v>
      </c>
      <c r="N45">
        <v>36</v>
      </c>
      <c r="O45" t="s">
        <v>62</v>
      </c>
    </row>
    <row r="46" spans="1:16" x14ac:dyDescent="0.35">
      <c r="A46">
        <v>45</v>
      </c>
      <c r="B46" t="s">
        <v>95</v>
      </c>
      <c r="D46" t="s">
        <v>63</v>
      </c>
      <c r="E46" t="s">
        <v>57</v>
      </c>
      <c r="F46">
        <v>4</v>
      </c>
      <c r="G46" t="s">
        <v>58</v>
      </c>
      <c r="H46">
        <v>70</v>
      </c>
      <c r="I46" t="s">
        <v>72</v>
      </c>
      <c r="J46">
        <v>30</v>
      </c>
      <c r="K46">
        <v>1200</v>
      </c>
      <c r="L46" t="s">
        <v>72</v>
      </c>
      <c r="M46" t="s">
        <v>61</v>
      </c>
      <c r="N46">
        <v>23</v>
      </c>
      <c r="O46" t="s">
        <v>62</v>
      </c>
    </row>
    <row r="47" spans="1:16" x14ac:dyDescent="0.35">
      <c r="A47">
        <v>46</v>
      </c>
      <c r="B47" t="s">
        <v>96</v>
      </c>
      <c r="D47" t="s">
        <v>63</v>
      </c>
      <c r="E47" t="s">
        <v>57</v>
      </c>
      <c r="F47">
        <v>7</v>
      </c>
      <c r="G47" t="s">
        <v>58</v>
      </c>
      <c r="H47">
        <v>60</v>
      </c>
      <c r="I47" t="s">
        <v>79</v>
      </c>
      <c r="J47">
        <v>32</v>
      </c>
      <c r="K47">
        <v>2240</v>
      </c>
      <c r="L47" t="s">
        <v>72</v>
      </c>
      <c r="M47" t="s">
        <v>61</v>
      </c>
      <c r="N47">
        <v>24</v>
      </c>
      <c r="O47" t="s">
        <v>62</v>
      </c>
    </row>
    <row r="48" spans="1:16" x14ac:dyDescent="0.35">
      <c r="A48">
        <v>47</v>
      </c>
      <c r="B48" t="s">
        <v>96</v>
      </c>
      <c r="D48" t="s">
        <v>77</v>
      </c>
      <c r="E48" t="s">
        <v>57</v>
      </c>
      <c r="F48">
        <v>3</v>
      </c>
      <c r="G48" t="s">
        <v>91</v>
      </c>
      <c r="H48">
        <v>60</v>
      </c>
      <c r="I48" t="s">
        <v>72</v>
      </c>
      <c r="J48">
        <v>30</v>
      </c>
      <c r="K48">
        <v>1000</v>
      </c>
      <c r="L48" t="s">
        <v>79</v>
      </c>
      <c r="M48" t="s">
        <v>61</v>
      </c>
      <c r="N48">
        <v>37</v>
      </c>
      <c r="O48" t="s">
        <v>62</v>
      </c>
    </row>
    <row r="49" spans="1:16" x14ac:dyDescent="0.35">
      <c r="A49">
        <v>48</v>
      </c>
      <c r="B49" t="s">
        <v>97</v>
      </c>
      <c r="D49" t="s">
        <v>63</v>
      </c>
      <c r="E49" t="s">
        <v>57</v>
      </c>
      <c r="F49">
        <v>6</v>
      </c>
      <c r="G49" t="s">
        <v>58</v>
      </c>
      <c r="H49">
        <v>70</v>
      </c>
      <c r="I49" t="s">
        <v>72</v>
      </c>
      <c r="J49">
        <v>28</v>
      </c>
      <c r="K49">
        <v>1520</v>
      </c>
      <c r="L49" t="s">
        <v>72</v>
      </c>
      <c r="M49" t="s">
        <v>61</v>
      </c>
      <c r="N49">
        <v>26</v>
      </c>
      <c r="O49" t="s">
        <v>62</v>
      </c>
    </row>
    <row r="50" spans="1:16" x14ac:dyDescent="0.35">
      <c r="A50">
        <v>49</v>
      </c>
      <c r="B50" t="s">
        <v>97</v>
      </c>
      <c r="D50" t="s">
        <v>63</v>
      </c>
      <c r="E50" t="s">
        <v>57</v>
      </c>
      <c r="F50">
        <v>6</v>
      </c>
      <c r="G50" t="s">
        <v>64</v>
      </c>
      <c r="H50">
        <v>70</v>
      </c>
      <c r="I50" t="s">
        <v>72</v>
      </c>
      <c r="J50">
        <v>28</v>
      </c>
      <c r="K50">
        <v>1730</v>
      </c>
      <c r="L50" t="s">
        <v>72</v>
      </c>
      <c r="M50" t="s">
        <v>61</v>
      </c>
      <c r="N50">
        <v>26</v>
      </c>
      <c r="O50" t="s">
        <v>62</v>
      </c>
    </row>
    <row r="51" spans="1:16" x14ac:dyDescent="0.35">
      <c r="A51">
        <v>50</v>
      </c>
      <c r="B51" t="s">
        <v>97</v>
      </c>
      <c r="D51" t="s">
        <v>63</v>
      </c>
      <c r="E51" t="s">
        <v>57</v>
      </c>
      <c r="F51">
        <v>3</v>
      </c>
      <c r="G51" t="s">
        <v>58</v>
      </c>
      <c r="H51">
        <v>60</v>
      </c>
      <c r="I51" t="s">
        <v>72</v>
      </c>
      <c r="J51">
        <v>30</v>
      </c>
      <c r="K51">
        <v>1000</v>
      </c>
      <c r="L51" t="s">
        <v>72</v>
      </c>
      <c r="M51" t="s">
        <v>61</v>
      </c>
      <c r="N51">
        <v>26</v>
      </c>
      <c r="O51" t="s">
        <v>62</v>
      </c>
    </row>
    <row r="52" spans="1:16" x14ac:dyDescent="0.35">
      <c r="A52">
        <v>51</v>
      </c>
      <c r="B52" t="s">
        <v>98</v>
      </c>
      <c r="D52" t="s">
        <v>63</v>
      </c>
      <c r="E52" t="s">
        <v>57</v>
      </c>
      <c r="F52">
        <v>2</v>
      </c>
      <c r="G52" t="s">
        <v>64</v>
      </c>
      <c r="H52">
        <v>70</v>
      </c>
      <c r="I52" t="s">
        <v>72</v>
      </c>
      <c r="J52">
        <v>28</v>
      </c>
      <c r="K52">
        <v>560</v>
      </c>
      <c r="L52" t="s">
        <v>72</v>
      </c>
      <c r="M52" t="s">
        <v>61</v>
      </c>
      <c r="N52">
        <v>27</v>
      </c>
      <c r="O52" t="s">
        <v>62</v>
      </c>
    </row>
    <row r="53" spans="1:16" x14ac:dyDescent="0.35">
      <c r="A53">
        <v>52</v>
      </c>
      <c r="B53" t="s">
        <v>98</v>
      </c>
      <c r="D53" t="s">
        <v>63</v>
      </c>
      <c r="E53" t="s">
        <v>57</v>
      </c>
      <c r="F53">
        <v>4</v>
      </c>
      <c r="G53" t="s">
        <v>64</v>
      </c>
      <c r="H53">
        <v>60</v>
      </c>
      <c r="I53" t="s">
        <v>72</v>
      </c>
      <c r="J53">
        <v>30</v>
      </c>
      <c r="K53">
        <v>1200</v>
      </c>
      <c r="L53" t="s">
        <v>72</v>
      </c>
      <c r="M53" t="s">
        <v>61</v>
      </c>
      <c r="N53">
        <v>27</v>
      </c>
      <c r="O53" t="s">
        <v>62</v>
      </c>
    </row>
    <row r="54" spans="1:16" x14ac:dyDescent="0.35">
      <c r="A54">
        <v>53</v>
      </c>
      <c r="B54" t="s">
        <v>98</v>
      </c>
      <c r="D54" t="s">
        <v>63</v>
      </c>
      <c r="E54" t="s">
        <v>57</v>
      </c>
      <c r="F54">
        <v>1</v>
      </c>
      <c r="G54" t="s">
        <v>64</v>
      </c>
      <c r="H54">
        <v>55</v>
      </c>
      <c r="I54" t="s">
        <v>72</v>
      </c>
      <c r="J54">
        <v>40</v>
      </c>
      <c r="K54">
        <v>460</v>
      </c>
      <c r="L54" t="s">
        <v>72</v>
      </c>
      <c r="M54" t="s">
        <v>61</v>
      </c>
      <c r="N54">
        <v>27</v>
      </c>
      <c r="O54" t="s">
        <v>62</v>
      </c>
    </row>
    <row r="55" spans="1:16" x14ac:dyDescent="0.35">
      <c r="A55">
        <v>54</v>
      </c>
      <c r="B55" t="s">
        <v>99</v>
      </c>
      <c r="D55" t="s">
        <v>63</v>
      </c>
      <c r="E55" t="s">
        <v>57</v>
      </c>
      <c r="F55">
        <v>10</v>
      </c>
      <c r="G55" t="s">
        <v>64</v>
      </c>
      <c r="H55">
        <v>60</v>
      </c>
      <c r="I55" t="s">
        <v>79</v>
      </c>
      <c r="J55">
        <v>32</v>
      </c>
      <c r="K55">
        <v>3200</v>
      </c>
      <c r="L55" t="s">
        <v>72</v>
      </c>
      <c r="M55" t="s">
        <v>61</v>
      </c>
      <c r="N55">
        <v>28</v>
      </c>
      <c r="O55" t="s">
        <v>62</v>
      </c>
    </row>
    <row r="56" spans="1:16" x14ac:dyDescent="0.35">
      <c r="A56">
        <v>55</v>
      </c>
      <c r="B56" t="s">
        <v>99</v>
      </c>
      <c r="D56" t="s">
        <v>63</v>
      </c>
      <c r="E56" t="s">
        <v>57</v>
      </c>
      <c r="F56">
        <v>5</v>
      </c>
      <c r="G56" t="s">
        <v>58</v>
      </c>
      <c r="H56">
        <v>60</v>
      </c>
      <c r="I56" t="s">
        <v>79</v>
      </c>
      <c r="J56">
        <v>32</v>
      </c>
      <c r="K56">
        <v>1600</v>
      </c>
      <c r="L56" t="s">
        <v>72</v>
      </c>
      <c r="M56" t="s">
        <v>61</v>
      </c>
      <c r="N56">
        <v>28</v>
      </c>
      <c r="O56" t="s">
        <v>62</v>
      </c>
    </row>
    <row r="57" spans="1:16" x14ac:dyDescent="0.35">
      <c r="A57">
        <v>56</v>
      </c>
      <c r="B57" t="s">
        <v>99</v>
      </c>
      <c r="D57" t="s">
        <v>63</v>
      </c>
      <c r="E57" t="s">
        <v>57</v>
      </c>
      <c r="F57">
        <v>2</v>
      </c>
      <c r="G57" t="s">
        <v>64</v>
      </c>
      <c r="H57">
        <v>55</v>
      </c>
      <c r="I57" t="s">
        <v>72</v>
      </c>
      <c r="J57">
        <v>33</v>
      </c>
      <c r="K57">
        <v>660</v>
      </c>
      <c r="L57" t="s">
        <v>72</v>
      </c>
      <c r="M57" t="s">
        <v>61</v>
      </c>
      <c r="N57">
        <v>28</v>
      </c>
      <c r="O57" t="s">
        <v>62</v>
      </c>
    </row>
    <row r="58" spans="1:16" x14ac:dyDescent="0.35">
      <c r="A58">
        <v>57</v>
      </c>
      <c r="B58" t="s">
        <v>99</v>
      </c>
      <c r="D58" t="s">
        <v>63</v>
      </c>
      <c r="E58" t="s">
        <v>57</v>
      </c>
      <c r="F58">
        <v>3</v>
      </c>
      <c r="G58" t="s">
        <v>64</v>
      </c>
      <c r="H58">
        <v>70</v>
      </c>
      <c r="I58" t="s">
        <v>72</v>
      </c>
      <c r="J58">
        <v>28</v>
      </c>
      <c r="K58">
        <v>890</v>
      </c>
      <c r="L58" t="s">
        <v>72</v>
      </c>
      <c r="M58" t="s">
        <v>61</v>
      </c>
      <c r="N58">
        <v>28</v>
      </c>
      <c r="O58" t="s">
        <v>62</v>
      </c>
    </row>
    <row r="59" spans="1:16" x14ac:dyDescent="0.35">
      <c r="A59">
        <v>58</v>
      </c>
      <c r="B59" t="s">
        <v>99</v>
      </c>
      <c r="D59" t="s">
        <v>63</v>
      </c>
      <c r="E59" t="s">
        <v>57</v>
      </c>
      <c r="F59">
        <v>1</v>
      </c>
      <c r="G59" t="s">
        <v>64</v>
      </c>
      <c r="H59">
        <v>60</v>
      </c>
      <c r="I59" t="s">
        <v>72</v>
      </c>
      <c r="J59">
        <v>20</v>
      </c>
      <c r="K59">
        <v>200</v>
      </c>
      <c r="L59" t="s">
        <v>72</v>
      </c>
      <c r="M59" t="s">
        <v>61</v>
      </c>
      <c r="N59">
        <v>28</v>
      </c>
      <c r="O59" t="s">
        <v>62</v>
      </c>
    </row>
    <row r="60" spans="1:16" x14ac:dyDescent="0.35">
      <c r="A60">
        <v>59</v>
      </c>
      <c r="B60" t="s">
        <v>100</v>
      </c>
      <c r="D60" t="s">
        <v>63</v>
      </c>
      <c r="E60" t="s">
        <v>57</v>
      </c>
      <c r="F60">
        <v>9</v>
      </c>
      <c r="G60" t="s">
        <v>58</v>
      </c>
      <c r="H60">
        <v>60</v>
      </c>
      <c r="I60" t="s">
        <v>72</v>
      </c>
      <c r="J60">
        <v>30</v>
      </c>
      <c r="K60">
        <v>2650</v>
      </c>
      <c r="L60" t="s">
        <v>72</v>
      </c>
      <c r="M60" t="s">
        <v>61</v>
      </c>
      <c r="N60">
        <v>29</v>
      </c>
      <c r="O60" t="s">
        <v>62</v>
      </c>
    </row>
    <row r="61" spans="1:16" x14ac:dyDescent="0.35">
      <c r="A61">
        <v>60</v>
      </c>
      <c r="B61" t="s">
        <v>100</v>
      </c>
      <c r="D61" t="s">
        <v>63</v>
      </c>
      <c r="E61" t="s">
        <v>57</v>
      </c>
      <c r="F61">
        <v>2</v>
      </c>
      <c r="G61" t="s">
        <v>64</v>
      </c>
      <c r="H61">
        <v>55</v>
      </c>
      <c r="I61" t="s">
        <v>72</v>
      </c>
      <c r="J61">
        <v>33</v>
      </c>
      <c r="K61">
        <v>690</v>
      </c>
      <c r="L61" t="s">
        <v>72</v>
      </c>
      <c r="M61" t="s">
        <v>61</v>
      </c>
      <c r="N61">
        <v>29</v>
      </c>
      <c r="O61" t="s">
        <v>62</v>
      </c>
    </row>
    <row r="62" spans="1:16" x14ac:dyDescent="0.35">
      <c r="A62">
        <v>61</v>
      </c>
      <c r="B62" t="s">
        <v>100</v>
      </c>
      <c r="D62" t="s">
        <v>63</v>
      </c>
      <c r="E62" t="s">
        <v>57</v>
      </c>
      <c r="F62">
        <v>3</v>
      </c>
      <c r="G62" t="s">
        <v>64</v>
      </c>
      <c r="H62">
        <v>50</v>
      </c>
      <c r="I62" t="s">
        <v>72</v>
      </c>
      <c r="J62">
        <v>36</v>
      </c>
      <c r="K62">
        <v>1080</v>
      </c>
      <c r="L62" t="s">
        <v>72</v>
      </c>
      <c r="M62" t="s">
        <v>61</v>
      </c>
      <c r="N62">
        <v>29</v>
      </c>
      <c r="O62" t="s">
        <v>62</v>
      </c>
    </row>
    <row r="63" spans="1:16" x14ac:dyDescent="0.35">
      <c r="A63">
        <v>62</v>
      </c>
      <c r="B63" t="s">
        <v>101</v>
      </c>
      <c r="D63" t="s">
        <v>63</v>
      </c>
      <c r="E63" t="s">
        <v>57</v>
      </c>
      <c r="F63">
        <v>7</v>
      </c>
      <c r="G63" t="s">
        <v>58</v>
      </c>
      <c r="H63">
        <v>60</v>
      </c>
      <c r="I63" t="s">
        <v>79</v>
      </c>
      <c r="J63">
        <v>32</v>
      </c>
      <c r="K63">
        <v>2240</v>
      </c>
      <c r="L63" t="s">
        <v>72</v>
      </c>
      <c r="M63" t="s">
        <v>61</v>
      </c>
      <c r="N63">
        <v>30</v>
      </c>
      <c r="O63" t="s">
        <v>62</v>
      </c>
      <c r="P63" t="s">
        <v>73</v>
      </c>
    </row>
    <row r="64" spans="1:16" x14ac:dyDescent="0.35">
      <c r="A64">
        <v>63</v>
      </c>
      <c r="B64" t="s">
        <v>102</v>
      </c>
      <c r="D64" t="s">
        <v>63</v>
      </c>
      <c r="E64" t="s">
        <v>57</v>
      </c>
      <c r="F64">
        <v>4</v>
      </c>
      <c r="G64" t="s">
        <v>58</v>
      </c>
      <c r="H64">
        <v>60</v>
      </c>
      <c r="I64" t="s">
        <v>79</v>
      </c>
      <c r="J64">
        <v>32</v>
      </c>
      <c r="K64">
        <v>1280</v>
      </c>
      <c r="L64" t="s">
        <v>72</v>
      </c>
      <c r="M64" t="s">
        <v>61</v>
      </c>
      <c r="N64">
        <v>31</v>
      </c>
      <c r="O64" t="s">
        <v>62</v>
      </c>
    </row>
    <row r="65" spans="1:15" x14ac:dyDescent="0.35">
      <c r="A65">
        <v>64</v>
      </c>
      <c r="B65" t="s">
        <v>102</v>
      </c>
      <c r="D65" t="s">
        <v>63</v>
      </c>
      <c r="E65" t="s">
        <v>57</v>
      </c>
      <c r="F65">
        <v>5</v>
      </c>
      <c r="G65" t="s">
        <v>58</v>
      </c>
      <c r="H65">
        <v>55</v>
      </c>
      <c r="I65" t="s">
        <v>79</v>
      </c>
      <c r="J65">
        <v>32</v>
      </c>
      <c r="K65">
        <v>1600</v>
      </c>
      <c r="L65" t="s">
        <v>72</v>
      </c>
      <c r="M65" t="s">
        <v>61</v>
      </c>
      <c r="N65">
        <v>31</v>
      </c>
      <c r="O65" t="s">
        <v>62</v>
      </c>
    </row>
    <row r="66" spans="1:15" x14ac:dyDescent="0.35">
      <c r="A66">
        <v>65</v>
      </c>
      <c r="B66" t="s">
        <v>103</v>
      </c>
      <c r="F66">
        <v>0</v>
      </c>
      <c r="J66">
        <v>0</v>
      </c>
      <c r="K66">
        <v>31200</v>
      </c>
      <c r="O66" t="s">
        <v>70</v>
      </c>
    </row>
    <row r="67" spans="1:15" x14ac:dyDescent="0.35">
      <c r="A67">
        <v>66</v>
      </c>
      <c r="B67" t="s">
        <v>104</v>
      </c>
      <c r="D67" t="s">
        <v>63</v>
      </c>
      <c r="E67" t="s">
        <v>57</v>
      </c>
      <c r="F67">
        <v>7</v>
      </c>
      <c r="G67" t="s">
        <v>58</v>
      </c>
      <c r="H67">
        <v>55</v>
      </c>
      <c r="I67" t="s">
        <v>79</v>
      </c>
      <c r="J67">
        <v>32</v>
      </c>
      <c r="K67">
        <v>2240</v>
      </c>
      <c r="L67" t="s">
        <v>72</v>
      </c>
      <c r="N67">
        <v>32</v>
      </c>
      <c r="O67" t="s">
        <v>70</v>
      </c>
    </row>
    <row r="68" spans="1:15" x14ac:dyDescent="0.35">
      <c r="A68">
        <v>67</v>
      </c>
      <c r="B68" t="s">
        <v>104</v>
      </c>
      <c r="D68" t="s">
        <v>63</v>
      </c>
      <c r="E68" t="s">
        <v>57</v>
      </c>
      <c r="F68">
        <v>6</v>
      </c>
      <c r="G68" t="s">
        <v>105</v>
      </c>
      <c r="H68">
        <v>60</v>
      </c>
      <c r="I68" t="s">
        <v>79</v>
      </c>
      <c r="J68">
        <v>32</v>
      </c>
      <c r="K68">
        <v>1920</v>
      </c>
      <c r="L68" t="s">
        <v>72</v>
      </c>
      <c r="N68">
        <v>32</v>
      </c>
      <c r="O68" t="s">
        <v>70</v>
      </c>
    </row>
    <row r="69" spans="1:15" x14ac:dyDescent="0.35">
      <c r="A69">
        <v>68</v>
      </c>
      <c r="B69" t="s">
        <v>106</v>
      </c>
      <c r="D69" t="s">
        <v>63</v>
      </c>
      <c r="E69" t="s">
        <v>74</v>
      </c>
      <c r="F69">
        <v>5</v>
      </c>
      <c r="G69" t="s">
        <v>105</v>
      </c>
      <c r="H69">
        <v>60</v>
      </c>
      <c r="I69" t="s">
        <v>72</v>
      </c>
      <c r="J69">
        <v>20</v>
      </c>
      <c r="K69">
        <v>1000</v>
      </c>
      <c r="L69" t="s">
        <v>72</v>
      </c>
      <c r="M69" t="s">
        <v>61</v>
      </c>
      <c r="N69">
        <v>33</v>
      </c>
      <c r="O69" t="s">
        <v>62</v>
      </c>
    </row>
    <row r="70" spans="1:15" x14ac:dyDescent="0.35">
      <c r="A70">
        <v>69</v>
      </c>
      <c r="B70" t="s">
        <v>106</v>
      </c>
      <c r="D70" t="s">
        <v>63</v>
      </c>
      <c r="E70" t="s">
        <v>57</v>
      </c>
      <c r="F70">
        <v>1</v>
      </c>
      <c r="G70" t="s">
        <v>105</v>
      </c>
      <c r="H70">
        <v>50</v>
      </c>
      <c r="I70" t="s">
        <v>72</v>
      </c>
      <c r="J70">
        <v>40</v>
      </c>
      <c r="K70">
        <v>400</v>
      </c>
      <c r="L70" t="s">
        <v>72</v>
      </c>
      <c r="M70" t="s">
        <v>61</v>
      </c>
      <c r="O70" t="s">
        <v>62</v>
      </c>
    </row>
    <row r="71" spans="1:15" x14ac:dyDescent="0.35">
      <c r="A71">
        <v>70</v>
      </c>
      <c r="B71" t="s">
        <v>106</v>
      </c>
      <c r="D71" t="s">
        <v>63</v>
      </c>
      <c r="E71" t="s">
        <v>57</v>
      </c>
      <c r="F71">
        <v>12</v>
      </c>
      <c r="G71" t="s">
        <v>105</v>
      </c>
      <c r="H71">
        <v>70</v>
      </c>
      <c r="I71" t="s">
        <v>72</v>
      </c>
      <c r="J71">
        <v>28</v>
      </c>
      <c r="K71">
        <v>3430</v>
      </c>
      <c r="L71" t="s">
        <v>72</v>
      </c>
      <c r="M71" t="s">
        <v>61</v>
      </c>
      <c r="N71">
        <v>34</v>
      </c>
      <c r="O71" t="s">
        <v>62</v>
      </c>
    </row>
    <row r="72" spans="1:15" x14ac:dyDescent="0.35">
      <c r="A72">
        <v>71</v>
      </c>
      <c r="B72" t="s">
        <v>106</v>
      </c>
      <c r="D72" t="s">
        <v>63</v>
      </c>
      <c r="E72" t="s">
        <v>57</v>
      </c>
      <c r="F72">
        <v>1</v>
      </c>
      <c r="G72" t="s">
        <v>105</v>
      </c>
      <c r="H72">
        <v>60</v>
      </c>
      <c r="I72" t="s">
        <v>72</v>
      </c>
      <c r="J72">
        <v>30</v>
      </c>
      <c r="K72">
        <v>300</v>
      </c>
      <c r="L72" t="s">
        <v>72</v>
      </c>
      <c r="M72" t="s">
        <v>61</v>
      </c>
      <c r="O72" t="s">
        <v>62</v>
      </c>
    </row>
    <row r="73" spans="1:15" x14ac:dyDescent="0.35">
      <c r="A73">
        <v>72</v>
      </c>
      <c r="B73" t="s">
        <v>106</v>
      </c>
      <c r="D73" t="s">
        <v>63</v>
      </c>
      <c r="E73" t="s">
        <v>74</v>
      </c>
      <c r="F73">
        <v>1</v>
      </c>
      <c r="G73" t="s">
        <v>105</v>
      </c>
      <c r="H73">
        <v>55</v>
      </c>
      <c r="I73" t="s">
        <v>72</v>
      </c>
      <c r="J73">
        <v>21</v>
      </c>
      <c r="K73">
        <v>210</v>
      </c>
      <c r="L73" t="s">
        <v>72</v>
      </c>
      <c r="M73" t="s">
        <v>61</v>
      </c>
      <c r="O73" t="s">
        <v>62</v>
      </c>
    </row>
    <row r="74" spans="1:15" x14ac:dyDescent="0.35">
      <c r="A74">
        <v>73</v>
      </c>
      <c r="B74" t="s">
        <v>107</v>
      </c>
      <c r="D74" t="s">
        <v>63</v>
      </c>
      <c r="E74" t="s">
        <v>57</v>
      </c>
      <c r="F74">
        <v>5</v>
      </c>
      <c r="G74" t="s">
        <v>105</v>
      </c>
      <c r="H74">
        <v>60</v>
      </c>
      <c r="I74" t="s">
        <v>79</v>
      </c>
      <c r="J74">
        <v>32</v>
      </c>
      <c r="K74">
        <v>1600</v>
      </c>
      <c r="L74" t="s">
        <v>72</v>
      </c>
      <c r="M74" t="s">
        <v>61</v>
      </c>
      <c r="N74">
        <v>35</v>
      </c>
      <c r="O74" t="s">
        <v>62</v>
      </c>
    </row>
    <row r="75" spans="1:15" x14ac:dyDescent="0.35">
      <c r="A75">
        <v>74</v>
      </c>
      <c r="B75" t="s">
        <v>108</v>
      </c>
      <c r="D75" t="s">
        <v>63</v>
      </c>
      <c r="E75" t="s">
        <v>74</v>
      </c>
      <c r="F75">
        <v>3</v>
      </c>
      <c r="G75" t="s">
        <v>105</v>
      </c>
      <c r="H75">
        <v>60</v>
      </c>
      <c r="I75" t="s">
        <v>79</v>
      </c>
      <c r="J75">
        <v>20</v>
      </c>
      <c r="K75">
        <v>600</v>
      </c>
      <c r="L75" t="s">
        <v>72</v>
      </c>
      <c r="M75" t="s">
        <v>61</v>
      </c>
      <c r="N75">
        <v>38</v>
      </c>
      <c r="O75" t="s">
        <v>62</v>
      </c>
    </row>
    <row r="76" spans="1:15" x14ac:dyDescent="0.35">
      <c r="A76">
        <v>75</v>
      </c>
      <c r="B76" t="s">
        <v>108</v>
      </c>
      <c r="D76" t="s">
        <v>63</v>
      </c>
      <c r="E76" t="s">
        <v>57</v>
      </c>
      <c r="F76">
        <v>1</v>
      </c>
      <c r="G76" t="s">
        <v>105</v>
      </c>
      <c r="H76">
        <v>55</v>
      </c>
      <c r="I76" t="s">
        <v>79</v>
      </c>
      <c r="J76">
        <v>40</v>
      </c>
      <c r="K76">
        <v>400</v>
      </c>
      <c r="L76" t="s">
        <v>72</v>
      </c>
      <c r="M76" t="s">
        <v>61</v>
      </c>
      <c r="N76">
        <v>38</v>
      </c>
      <c r="O76" t="s">
        <v>62</v>
      </c>
    </row>
    <row r="77" spans="1:15" x14ac:dyDescent="0.35">
      <c r="A77">
        <v>76</v>
      </c>
      <c r="B77" t="s">
        <v>109</v>
      </c>
      <c r="D77" t="s">
        <v>63</v>
      </c>
      <c r="E77" t="s">
        <v>57</v>
      </c>
      <c r="F77">
        <v>10</v>
      </c>
      <c r="G77" t="s">
        <v>105</v>
      </c>
      <c r="H77">
        <v>70</v>
      </c>
      <c r="I77" t="s">
        <v>79</v>
      </c>
      <c r="J77">
        <v>30</v>
      </c>
      <c r="K77">
        <v>3000</v>
      </c>
      <c r="L77" t="s">
        <v>72</v>
      </c>
      <c r="M77" t="s">
        <v>61</v>
      </c>
      <c r="N77">
        <v>39</v>
      </c>
      <c r="O77" t="s">
        <v>62</v>
      </c>
    </row>
    <row r="78" spans="1:15" x14ac:dyDescent="0.35">
      <c r="A78">
        <v>77</v>
      </c>
      <c r="B78" t="s">
        <v>110</v>
      </c>
      <c r="D78" t="s">
        <v>63</v>
      </c>
      <c r="E78" t="s">
        <v>57</v>
      </c>
      <c r="F78">
        <v>14</v>
      </c>
      <c r="G78" t="s">
        <v>105</v>
      </c>
      <c r="H78">
        <v>60</v>
      </c>
      <c r="I78" t="s">
        <v>79</v>
      </c>
      <c r="J78">
        <v>32</v>
      </c>
      <c r="K78">
        <v>4480</v>
      </c>
      <c r="L78" t="s">
        <v>72</v>
      </c>
      <c r="M78" t="s">
        <v>61</v>
      </c>
      <c r="N78">
        <v>40</v>
      </c>
      <c r="O78" t="s">
        <v>62</v>
      </c>
    </row>
    <row r="79" spans="1:15" x14ac:dyDescent="0.35">
      <c r="A79">
        <v>78</v>
      </c>
      <c r="B79" t="s">
        <v>110</v>
      </c>
      <c r="D79" t="s">
        <v>63</v>
      </c>
      <c r="E79" t="s">
        <v>57</v>
      </c>
      <c r="F79">
        <v>1</v>
      </c>
      <c r="G79" t="s">
        <v>105</v>
      </c>
      <c r="H79">
        <v>70</v>
      </c>
      <c r="I79" t="s">
        <v>72</v>
      </c>
      <c r="J79">
        <v>32</v>
      </c>
      <c r="K79">
        <v>60</v>
      </c>
      <c r="L79" t="s">
        <v>72</v>
      </c>
      <c r="M79" t="s">
        <v>61</v>
      </c>
      <c r="O79" t="s">
        <v>62</v>
      </c>
    </row>
    <row r="80" spans="1:15" x14ac:dyDescent="0.35">
      <c r="A80">
        <v>79</v>
      </c>
      <c r="B80" t="s">
        <v>110</v>
      </c>
      <c r="D80" t="s">
        <v>63</v>
      </c>
      <c r="E80" t="s">
        <v>57</v>
      </c>
      <c r="F80">
        <v>1</v>
      </c>
      <c r="G80" t="s">
        <v>105</v>
      </c>
      <c r="H80">
        <v>60</v>
      </c>
      <c r="I80" t="s">
        <v>72</v>
      </c>
      <c r="J80">
        <v>32</v>
      </c>
      <c r="K80">
        <v>480</v>
      </c>
      <c r="L80" t="s">
        <v>72</v>
      </c>
      <c r="M80" t="s">
        <v>61</v>
      </c>
      <c r="O80" t="s">
        <v>62</v>
      </c>
    </row>
    <row r="81" spans="1:16" x14ac:dyDescent="0.35">
      <c r="A81">
        <v>80</v>
      </c>
      <c r="B81" t="s">
        <v>111</v>
      </c>
      <c r="D81" t="s">
        <v>63</v>
      </c>
      <c r="E81" t="s">
        <v>74</v>
      </c>
      <c r="F81">
        <v>5</v>
      </c>
      <c r="G81" t="s">
        <v>105</v>
      </c>
      <c r="H81">
        <v>60</v>
      </c>
      <c r="I81" t="s">
        <v>72</v>
      </c>
      <c r="J81">
        <v>20</v>
      </c>
      <c r="K81">
        <v>1000</v>
      </c>
      <c r="L81" t="s">
        <v>72</v>
      </c>
      <c r="M81" t="s">
        <v>61</v>
      </c>
      <c r="N81">
        <v>43</v>
      </c>
      <c r="O81" t="s">
        <v>62</v>
      </c>
    </row>
    <row r="82" spans="1:16" x14ac:dyDescent="0.35">
      <c r="A82">
        <v>81</v>
      </c>
      <c r="B82" t="s">
        <v>111</v>
      </c>
      <c r="D82" t="s">
        <v>63</v>
      </c>
      <c r="E82" t="s">
        <v>57</v>
      </c>
      <c r="F82">
        <v>11</v>
      </c>
      <c r="G82" t="s">
        <v>105</v>
      </c>
      <c r="H82">
        <v>70</v>
      </c>
      <c r="I82" t="s">
        <v>72</v>
      </c>
      <c r="J82">
        <v>28</v>
      </c>
      <c r="K82">
        <v>3180</v>
      </c>
      <c r="L82" t="s">
        <v>72</v>
      </c>
      <c r="M82" t="s">
        <v>61</v>
      </c>
      <c r="O82" t="s">
        <v>62</v>
      </c>
    </row>
    <row r="83" spans="1:16" x14ac:dyDescent="0.35">
      <c r="A83">
        <v>82</v>
      </c>
      <c r="B83" t="s">
        <v>111</v>
      </c>
      <c r="D83" t="s">
        <v>63</v>
      </c>
      <c r="E83" t="s">
        <v>57</v>
      </c>
      <c r="F83">
        <v>5</v>
      </c>
      <c r="G83" t="s">
        <v>105</v>
      </c>
      <c r="H83">
        <v>60</v>
      </c>
      <c r="I83" t="s">
        <v>72</v>
      </c>
      <c r="J83">
        <v>18</v>
      </c>
      <c r="K83">
        <v>1360</v>
      </c>
      <c r="L83" t="s">
        <v>72</v>
      </c>
      <c r="M83" t="s">
        <v>61</v>
      </c>
      <c r="O83" t="s">
        <v>62</v>
      </c>
    </row>
    <row r="84" spans="1:16" x14ac:dyDescent="0.35">
      <c r="A84">
        <v>83</v>
      </c>
      <c r="B84" t="s">
        <v>112</v>
      </c>
      <c r="F84">
        <v>0</v>
      </c>
      <c r="J84">
        <v>0</v>
      </c>
      <c r="K84">
        <v>21500</v>
      </c>
      <c r="O84" t="s">
        <v>70</v>
      </c>
    </row>
    <row r="85" spans="1:16" x14ac:dyDescent="0.35">
      <c r="A85">
        <v>84</v>
      </c>
      <c r="B85" t="s">
        <v>113</v>
      </c>
      <c r="D85" t="s">
        <v>63</v>
      </c>
      <c r="E85" t="s">
        <v>57</v>
      </c>
      <c r="F85">
        <v>4</v>
      </c>
      <c r="G85" t="s">
        <v>105</v>
      </c>
      <c r="H85">
        <v>60</v>
      </c>
      <c r="I85" t="s">
        <v>79</v>
      </c>
      <c r="J85">
        <v>32</v>
      </c>
      <c r="K85">
        <v>1280</v>
      </c>
      <c r="L85" t="s">
        <v>72</v>
      </c>
      <c r="M85" t="s">
        <v>61</v>
      </c>
      <c r="N85">
        <v>44</v>
      </c>
      <c r="O85" t="s">
        <v>62</v>
      </c>
      <c r="P85" t="s">
        <v>114</v>
      </c>
    </row>
    <row r="86" spans="1:16" x14ac:dyDescent="0.35">
      <c r="A86">
        <v>85</v>
      </c>
      <c r="B86" t="s">
        <v>113</v>
      </c>
      <c r="D86" t="s">
        <v>63</v>
      </c>
      <c r="E86" t="s">
        <v>57</v>
      </c>
      <c r="F86">
        <v>2</v>
      </c>
      <c r="G86" t="s">
        <v>105</v>
      </c>
      <c r="H86">
        <v>55</v>
      </c>
      <c r="I86" t="s">
        <v>72</v>
      </c>
      <c r="J86">
        <v>35</v>
      </c>
      <c r="K86">
        <v>700</v>
      </c>
      <c r="L86" t="s">
        <v>72</v>
      </c>
      <c r="M86" t="s">
        <v>61</v>
      </c>
      <c r="N86">
        <v>45</v>
      </c>
      <c r="O86" t="s">
        <v>62</v>
      </c>
    </row>
    <row r="87" spans="1:16" x14ac:dyDescent="0.35">
      <c r="A87">
        <v>86</v>
      </c>
      <c r="B87" t="s">
        <v>115</v>
      </c>
      <c r="D87" t="s">
        <v>63</v>
      </c>
      <c r="E87" t="s">
        <v>74</v>
      </c>
      <c r="F87">
        <v>1</v>
      </c>
      <c r="G87" t="s">
        <v>105</v>
      </c>
      <c r="H87">
        <v>70</v>
      </c>
      <c r="I87" t="s">
        <v>72</v>
      </c>
      <c r="J87">
        <v>14</v>
      </c>
      <c r="K87">
        <v>140</v>
      </c>
      <c r="L87" t="s">
        <v>72</v>
      </c>
      <c r="M87" t="s">
        <v>61</v>
      </c>
      <c r="N87">
        <v>46</v>
      </c>
      <c r="O87" t="s">
        <v>62</v>
      </c>
    </row>
    <row r="88" spans="1:16" x14ac:dyDescent="0.35">
      <c r="A88">
        <v>87</v>
      </c>
      <c r="B88" t="s">
        <v>17</v>
      </c>
      <c r="D88" t="s">
        <v>63</v>
      </c>
      <c r="E88" t="s">
        <v>57</v>
      </c>
      <c r="F88">
        <v>1</v>
      </c>
      <c r="G88" t="s">
        <v>105</v>
      </c>
      <c r="H88">
        <v>50</v>
      </c>
      <c r="I88" t="s">
        <v>72</v>
      </c>
      <c r="J88">
        <v>40</v>
      </c>
      <c r="K88">
        <v>400</v>
      </c>
      <c r="L88" t="s">
        <v>72</v>
      </c>
      <c r="M88" t="s">
        <v>61</v>
      </c>
      <c r="N88">
        <v>47</v>
      </c>
      <c r="O88" t="s">
        <v>62</v>
      </c>
    </row>
    <row r="89" spans="1:16" x14ac:dyDescent="0.35">
      <c r="A89">
        <v>88</v>
      </c>
      <c r="B89" t="s">
        <v>17</v>
      </c>
      <c r="D89" t="s">
        <v>63</v>
      </c>
      <c r="E89" t="s">
        <v>57</v>
      </c>
      <c r="F89">
        <v>5</v>
      </c>
      <c r="G89" t="s">
        <v>105</v>
      </c>
      <c r="H89">
        <v>55</v>
      </c>
      <c r="I89" t="s">
        <v>72</v>
      </c>
      <c r="J89">
        <v>18</v>
      </c>
      <c r="K89">
        <v>900</v>
      </c>
      <c r="L89" t="s">
        <v>72</v>
      </c>
      <c r="M89" t="s">
        <v>61</v>
      </c>
      <c r="N89">
        <v>47</v>
      </c>
      <c r="O89" t="s">
        <v>62</v>
      </c>
    </row>
    <row r="90" spans="1:16" x14ac:dyDescent="0.35">
      <c r="A90">
        <v>89</v>
      </c>
      <c r="B90" t="s">
        <v>116</v>
      </c>
      <c r="F90">
        <v>0</v>
      </c>
      <c r="J90">
        <v>0</v>
      </c>
      <c r="K90">
        <v>3420</v>
      </c>
      <c r="O90" t="s">
        <v>70</v>
      </c>
    </row>
    <row r="91" spans="1:16" x14ac:dyDescent="0.35">
      <c r="A91">
        <v>90</v>
      </c>
      <c r="B91" t="s">
        <v>117</v>
      </c>
      <c r="D91" t="s">
        <v>63</v>
      </c>
      <c r="E91" t="s">
        <v>57</v>
      </c>
      <c r="F91">
        <v>6</v>
      </c>
      <c r="G91" t="s">
        <v>105</v>
      </c>
      <c r="H91">
        <v>60</v>
      </c>
      <c r="I91" t="s">
        <v>79</v>
      </c>
      <c r="J91">
        <v>32</v>
      </c>
      <c r="K91">
        <v>1920</v>
      </c>
      <c r="L91" t="s">
        <v>72</v>
      </c>
      <c r="M91" t="s">
        <v>61</v>
      </c>
      <c r="N91">
        <v>48</v>
      </c>
      <c r="O91" t="s">
        <v>62</v>
      </c>
    </row>
    <row r="92" spans="1:16" x14ac:dyDescent="0.35">
      <c r="A92">
        <v>91</v>
      </c>
      <c r="B92" t="s">
        <v>117</v>
      </c>
      <c r="D92" t="s">
        <v>63</v>
      </c>
      <c r="E92" t="s">
        <v>57</v>
      </c>
      <c r="F92">
        <v>1</v>
      </c>
      <c r="G92" t="s">
        <v>105</v>
      </c>
      <c r="H92">
        <v>55</v>
      </c>
      <c r="I92" t="s">
        <v>79</v>
      </c>
      <c r="J92">
        <v>32</v>
      </c>
      <c r="K92">
        <v>320</v>
      </c>
      <c r="L92" t="s">
        <v>72</v>
      </c>
      <c r="M92" t="s">
        <v>61</v>
      </c>
      <c r="N92">
        <v>48</v>
      </c>
      <c r="O92" t="s">
        <v>62</v>
      </c>
    </row>
    <row r="93" spans="1:16" x14ac:dyDescent="0.35">
      <c r="A93">
        <v>92</v>
      </c>
      <c r="B93" t="s">
        <v>24</v>
      </c>
      <c r="D93" t="s">
        <v>63</v>
      </c>
      <c r="E93" t="s">
        <v>74</v>
      </c>
      <c r="F93">
        <v>3</v>
      </c>
      <c r="G93" t="s">
        <v>105</v>
      </c>
      <c r="H93">
        <v>60</v>
      </c>
      <c r="I93" t="s">
        <v>72</v>
      </c>
      <c r="J93">
        <v>20</v>
      </c>
      <c r="K93">
        <v>600</v>
      </c>
      <c r="L93" t="s">
        <v>72</v>
      </c>
      <c r="M93" t="s">
        <v>61</v>
      </c>
      <c r="N93">
        <v>49</v>
      </c>
      <c r="O93" t="s">
        <v>62</v>
      </c>
    </row>
    <row r="94" spans="1:16" x14ac:dyDescent="0.35">
      <c r="A94">
        <v>93</v>
      </c>
      <c r="B94" t="s">
        <v>24</v>
      </c>
      <c r="D94" t="s">
        <v>63</v>
      </c>
      <c r="E94" t="s">
        <v>74</v>
      </c>
      <c r="F94">
        <v>2</v>
      </c>
      <c r="G94" t="s">
        <v>105</v>
      </c>
      <c r="H94">
        <v>55</v>
      </c>
      <c r="I94" t="s">
        <v>72</v>
      </c>
      <c r="J94">
        <v>20</v>
      </c>
      <c r="K94">
        <v>400</v>
      </c>
      <c r="L94" t="s">
        <v>72</v>
      </c>
      <c r="M94" t="s">
        <v>61</v>
      </c>
      <c r="N94">
        <v>49</v>
      </c>
      <c r="O94" t="s">
        <v>62</v>
      </c>
    </row>
    <row r="95" spans="1:16" x14ac:dyDescent="0.35">
      <c r="A95">
        <v>94</v>
      </c>
      <c r="B95" t="s">
        <v>24</v>
      </c>
      <c r="D95" t="s">
        <v>63</v>
      </c>
      <c r="E95" t="s">
        <v>57</v>
      </c>
      <c r="F95">
        <v>2</v>
      </c>
      <c r="G95" t="s">
        <v>58</v>
      </c>
      <c r="H95">
        <v>60</v>
      </c>
      <c r="I95" t="s">
        <v>79</v>
      </c>
      <c r="J95">
        <v>32</v>
      </c>
      <c r="K95">
        <v>640</v>
      </c>
      <c r="L95" t="s">
        <v>72</v>
      </c>
      <c r="M95" t="s">
        <v>61</v>
      </c>
      <c r="N95">
        <v>49</v>
      </c>
      <c r="O95" t="s">
        <v>62</v>
      </c>
    </row>
    <row r="96" spans="1:16" x14ac:dyDescent="0.35">
      <c r="A96">
        <v>95</v>
      </c>
      <c r="B96" t="s">
        <v>24</v>
      </c>
      <c r="D96" t="s">
        <v>63</v>
      </c>
      <c r="E96" t="s">
        <v>57</v>
      </c>
      <c r="F96">
        <v>2</v>
      </c>
      <c r="G96" t="s">
        <v>58</v>
      </c>
      <c r="H96">
        <v>55</v>
      </c>
      <c r="I96" t="s">
        <v>79</v>
      </c>
      <c r="J96">
        <v>32</v>
      </c>
      <c r="K96">
        <v>640</v>
      </c>
      <c r="L96" t="s">
        <v>72</v>
      </c>
      <c r="M96" t="s">
        <v>61</v>
      </c>
      <c r="N96">
        <v>49</v>
      </c>
      <c r="O96" t="s">
        <v>62</v>
      </c>
    </row>
    <row r="97" spans="1:15" x14ac:dyDescent="0.35">
      <c r="A97">
        <v>96</v>
      </c>
      <c r="B97" t="s">
        <v>24</v>
      </c>
      <c r="D97" t="s">
        <v>63</v>
      </c>
      <c r="E97" t="s">
        <v>57</v>
      </c>
      <c r="F97">
        <v>3</v>
      </c>
      <c r="G97" t="s">
        <v>105</v>
      </c>
      <c r="H97">
        <v>70</v>
      </c>
      <c r="I97" t="s">
        <v>72</v>
      </c>
      <c r="J97">
        <v>28</v>
      </c>
      <c r="K97">
        <v>770</v>
      </c>
      <c r="L97" t="s">
        <v>72</v>
      </c>
      <c r="M97" t="s">
        <v>61</v>
      </c>
      <c r="N97">
        <v>50</v>
      </c>
      <c r="O97" t="s">
        <v>62</v>
      </c>
    </row>
    <row r="98" spans="1:15" x14ac:dyDescent="0.35">
      <c r="A98">
        <v>97</v>
      </c>
      <c r="B98" t="s">
        <v>24</v>
      </c>
      <c r="D98" t="s">
        <v>63</v>
      </c>
      <c r="E98" t="s">
        <v>57</v>
      </c>
      <c r="F98">
        <v>1</v>
      </c>
      <c r="G98" t="s">
        <v>105</v>
      </c>
      <c r="H98">
        <v>55</v>
      </c>
      <c r="I98" t="s">
        <v>72</v>
      </c>
      <c r="J98">
        <v>25</v>
      </c>
      <c r="K98">
        <v>250</v>
      </c>
      <c r="L98" t="s">
        <v>72</v>
      </c>
      <c r="M98" t="s">
        <v>61</v>
      </c>
      <c r="N98">
        <v>50</v>
      </c>
      <c r="O98" t="s">
        <v>62</v>
      </c>
    </row>
    <row r="99" spans="1:15" x14ac:dyDescent="0.35">
      <c r="A99">
        <v>98</v>
      </c>
      <c r="B99" t="s">
        <v>118</v>
      </c>
      <c r="D99" t="s">
        <v>63</v>
      </c>
      <c r="E99" t="s">
        <v>57</v>
      </c>
      <c r="F99">
        <v>2</v>
      </c>
      <c r="G99" t="s">
        <v>58</v>
      </c>
      <c r="H99">
        <v>60</v>
      </c>
      <c r="I99" t="s">
        <v>79</v>
      </c>
      <c r="J99">
        <v>32</v>
      </c>
      <c r="K99">
        <v>640</v>
      </c>
      <c r="L99" t="s">
        <v>72</v>
      </c>
      <c r="M99" t="s">
        <v>61</v>
      </c>
      <c r="N99">
        <v>51</v>
      </c>
      <c r="O99" t="s">
        <v>62</v>
      </c>
    </row>
    <row r="100" spans="1:15" x14ac:dyDescent="0.35">
      <c r="A100">
        <v>99</v>
      </c>
      <c r="B100" t="s">
        <v>118</v>
      </c>
      <c r="D100" t="s">
        <v>63</v>
      </c>
      <c r="E100" t="s">
        <v>57</v>
      </c>
      <c r="F100">
        <v>2</v>
      </c>
      <c r="G100" t="s">
        <v>58</v>
      </c>
      <c r="H100">
        <v>55</v>
      </c>
      <c r="I100" t="s">
        <v>79</v>
      </c>
      <c r="J100">
        <v>40</v>
      </c>
      <c r="K100">
        <v>830</v>
      </c>
      <c r="L100" t="s">
        <v>72</v>
      </c>
      <c r="M100" t="s">
        <v>61</v>
      </c>
      <c r="N100">
        <v>51</v>
      </c>
      <c r="O100" t="s">
        <v>62</v>
      </c>
    </row>
    <row r="101" spans="1:15" x14ac:dyDescent="0.35">
      <c r="A101">
        <v>100</v>
      </c>
      <c r="B101" t="s">
        <v>118</v>
      </c>
      <c r="D101" t="s">
        <v>63</v>
      </c>
      <c r="E101" t="s">
        <v>57</v>
      </c>
      <c r="F101">
        <v>2</v>
      </c>
      <c r="G101" t="s">
        <v>58</v>
      </c>
      <c r="H101">
        <v>70</v>
      </c>
      <c r="I101" t="s">
        <v>72</v>
      </c>
      <c r="J101">
        <v>24</v>
      </c>
      <c r="K101">
        <v>480</v>
      </c>
      <c r="L101" t="s">
        <v>72</v>
      </c>
      <c r="M101" t="s">
        <v>61</v>
      </c>
      <c r="N101">
        <v>51</v>
      </c>
      <c r="O101" t="s">
        <v>62</v>
      </c>
    </row>
    <row r="102" spans="1:15" x14ac:dyDescent="0.35">
      <c r="A102">
        <v>101</v>
      </c>
      <c r="B102" t="s">
        <v>118</v>
      </c>
      <c r="D102" t="s">
        <v>63</v>
      </c>
      <c r="E102" t="s">
        <v>57</v>
      </c>
      <c r="F102">
        <v>2</v>
      </c>
      <c r="G102" t="s">
        <v>58</v>
      </c>
      <c r="H102">
        <v>60</v>
      </c>
      <c r="I102" t="s">
        <v>72</v>
      </c>
      <c r="J102">
        <v>30</v>
      </c>
      <c r="K102">
        <v>490</v>
      </c>
      <c r="L102" t="s">
        <v>72</v>
      </c>
      <c r="M102" t="s">
        <v>61</v>
      </c>
      <c r="N102">
        <v>51</v>
      </c>
      <c r="O102" t="s">
        <v>62</v>
      </c>
    </row>
    <row r="103" spans="1:15" x14ac:dyDescent="0.35">
      <c r="A103">
        <v>102</v>
      </c>
      <c r="B103" t="s">
        <v>118</v>
      </c>
      <c r="D103" t="s">
        <v>63</v>
      </c>
      <c r="E103" t="s">
        <v>57</v>
      </c>
      <c r="F103">
        <v>1</v>
      </c>
      <c r="G103" t="s">
        <v>58</v>
      </c>
      <c r="H103">
        <v>55</v>
      </c>
      <c r="I103" t="s">
        <v>72</v>
      </c>
      <c r="J103">
        <v>32</v>
      </c>
      <c r="K103">
        <v>320</v>
      </c>
      <c r="L103" t="s">
        <v>72</v>
      </c>
      <c r="M103" t="s">
        <v>61</v>
      </c>
      <c r="N103">
        <v>51</v>
      </c>
      <c r="O103" t="s">
        <v>62</v>
      </c>
    </row>
    <row r="104" spans="1:15" x14ac:dyDescent="0.35">
      <c r="A104">
        <v>103</v>
      </c>
      <c r="B104" t="s">
        <v>118</v>
      </c>
      <c r="D104" t="s">
        <v>63</v>
      </c>
      <c r="E104" t="s">
        <v>57</v>
      </c>
      <c r="F104">
        <v>1</v>
      </c>
      <c r="G104" t="s">
        <v>58</v>
      </c>
      <c r="H104">
        <v>50</v>
      </c>
      <c r="I104" t="s">
        <v>72</v>
      </c>
      <c r="J104">
        <v>40</v>
      </c>
      <c r="K104">
        <v>520</v>
      </c>
      <c r="L104" t="s">
        <v>72</v>
      </c>
      <c r="M104" t="s">
        <v>61</v>
      </c>
      <c r="N104">
        <v>51</v>
      </c>
      <c r="O104" t="s">
        <v>62</v>
      </c>
    </row>
    <row r="105" spans="1:15" x14ac:dyDescent="0.35">
      <c r="A105">
        <v>104</v>
      </c>
      <c r="B105" t="s">
        <v>119</v>
      </c>
      <c r="D105" t="s">
        <v>63</v>
      </c>
      <c r="E105" t="s">
        <v>120</v>
      </c>
      <c r="F105">
        <v>1</v>
      </c>
      <c r="G105" t="s">
        <v>58</v>
      </c>
      <c r="H105">
        <v>70</v>
      </c>
      <c r="I105" t="s">
        <v>72</v>
      </c>
      <c r="J105">
        <v>10</v>
      </c>
      <c r="K105">
        <v>100</v>
      </c>
      <c r="L105" t="s">
        <v>72</v>
      </c>
      <c r="M105" t="s">
        <v>61</v>
      </c>
      <c r="N105">
        <v>52</v>
      </c>
      <c r="O105" t="s">
        <v>62</v>
      </c>
    </row>
    <row r="106" spans="1:15" x14ac:dyDescent="0.35">
      <c r="A106">
        <v>105</v>
      </c>
      <c r="B106" t="s">
        <v>119</v>
      </c>
      <c r="D106" t="s">
        <v>63</v>
      </c>
      <c r="E106" t="s">
        <v>120</v>
      </c>
      <c r="F106">
        <v>2</v>
      </c>
      <c r="G106" t="s">
        <v>58</v>
      </c>
      <c r="H106">
        <v>60</v>
      </c>
      <c r="I106" t="s">
        <v>72</v>
      </c>
      <c r="J106">
        <v>12</v>
      </c>
      <c r="K106">
        <v>240</v>
      </c>
      <c r="L106" t="s">
        <v>72</v>
      </c>
      <c r="M106" t="s">
        <v>61</v>
      </c>
      <c r="N106">
        <v>52</v>
      </c>
      <c r="O106" t="s">
        <v>62</v>
      </c>
    </row>
    <row r="107" spans="1:15" x14ac:dyDescent="0.35">
      <c r="A107">
        <v>106</v>
      </c>
      <c r="B107" t="s">
        <v>25</v>
      </c>
      <c r="D107" t="s">
        <v>63</v>
      </c>
      <c r="E107" t="s">
        <v>57</v>
      </c>
      <c r="F107">
        <v>3</v>
      </c>
      <c r="G107" t="s">
        <v>58</v>
      </c>
      <c r="H107">
        <v>55</v>
      </c>
      <c r="I107" t="s">
        <v>72</v>
      </c>
      <c r="J107">
        <v>40</v>
      </c>
      <c r="K107">
        <v>1200</v>
      </c>
      <c r="L107" t="s">
        <v>72</v>
      </c>
      <c r="M107" t="s">
        <v>61</v>
      </c>
      <c r="N107">
        <v>53</v>
      </c>
      <c r="O107" t="s">
        <v>62</v>
      </c>
    </row>
    <row r="108" spans="1:15" x14ac:dyDescent="0.35">
      <c r="A108">
        <v>107</v>
      </c>
      <c r="B108" t="s">
        <v>119</v>
      </c>
      <c r="D108" t="s">
        <v>63</v>
      </c>
      <c r="E108" t="s">
        <v>57</v>
      </c>
      <c r="F108">
        <v>6</v>
      </c>
      <c r="G108" t="s">
        <v>58</v>
      </c>
      <c r="H108">
        <v>60</v>
      </c>
      <c r="I108" t="s">
        <v>72</v>
      </c>
      <c r="J108">
        <v>32</v>
      </c>
      <c r="K108">
        <v>1850</v>
      </c>
      <c r="L108" t="s">
        <v>72</v>
      </c>
      <c r="M108" t="s">
        <v>61</v>
      </c>
      <c r="N108">
        <v>53</v>
      </c>
      <c r="O108" t="s">
        <v>62</v>
      </c>
    </row>
    <row r="109" spans="1:15" x14ac:dyDescent="0.35">
      <c r="A109">
        <v>108</v>
      </c>
      <c r="B109" t="s">
        <v>119</v>
      </c>
      <c r="D109" t="s">
        <v>63</v>
      </c>
      <c r="E109" t="s">
        <v>57</v>
      </c>
      <c r="F109">
        <v>2</v>
      </c>
      <c r="G109" t="s">
        <v>58</v>
      </c>
      <c r="H109">
        <v>70</v>
      </c>
      <c r="I109" t="s">
        <v>72</v>
      </c>
      <c r="J109">
        <v>28</v>
      </c>
      <c r="K109">
        <v>450</v>
      </c>
      <c r="L109" t="s">
        <v>72</v>
      </c>
      <c r="M109" t="s">
        <v>61</v>
      </c>
      <c r="N109">
        <v>53</v>
      </c>
      <c r="O109" t="s">
        <v>62</v>
      </c>
    </row>
    <row r="110" spans="1:15" x14ac:dyDescent="0.35">
      <c r="A110">
        <v>109</v>
      </c>
      <c r="B110" t="s">
        <v>27</v>
      </c>
      <c r="D110" t="s">
        <v>63</v>
      </c>
      <c r="E110" t="s">
        <v>57</v>
      </c>
      <c r="F110">
        <v>5</v>
      </c>
      <c r="G110" t="s">
        <v>105</v>
      </c>
      <c r="H110">
        <v>60</v>
      </c>
      <c r="I110" t="s">
        <v>72</v>
      </c>
      <c r="J110">
        <v>30</v>
      </c>
      <c r="K110">
        <v>1690</v>
      </c>
      <c r="L110" t="s">
        <v>72</v>
      </c>
      <c r="M110" t="s">
        <v>61</v>
      </c>
      <c r="N110">
        <v>54</v>
      </c>
      <c r="O110" t="s">
        <v>62</v>
      </c>
    </row>
    <row r="111" spans="1:15" x14ac:dyDescent="0.35">
      <c r="A111">
        <v>110</v>
      </c>
      <c r="B111" t="s">
        <v>27</v>
      </c>
      <c r="D111" t="s">
        <v>63</v>
      </c>
      <c r="E111" t="s">
        <v>57</v>
      </c>
      <c r="F111">
        <v>4</v>
      </c>
      <c r="G111" t="s">
        <v>105</v>
      </c>
      <c r="H111">
        <v>70</v>
      </c>
      <c r="I111" t="s">
        <v>72</v>
      </c>
      <c r="J111">
        <v>30</v>
      </c>
      <c r="K111">
        <v>1280</v>
      </c>
      <c r="L111" t="s">
        <v>72</v>
      </c>
      <c r="M111" t="s">
        <v>61</v>
      </c>
      <c r="N111">
        <v>54</v>
      </c>
      <c r="O111" t="s">
        <v>62</v>
      </c>
    </row>
    <row r="112" spans="1:15" x14ac:dyDescent="0.35">
      <c r="A112">
        <v>111</v>
      </c>
      <c r="B112" t="s">
        <v>27</v>
      </c>
      <c r="D112" t="s">
        <v>63</v>
      </c>
      <c r="E112" t="s">
        <v>57</v>
      </c>
      <c r="F112">
        <v>3</v>
      </c>
      <c r="G112" t="s">
        <v>105</v>
      </c>
      <c r="H112">
        <v>55</v>
      </c>
      <c r="I112" t="s">
        <v>72</v>
      </c>
      <c r="J112">
        <v>40</v>
      </c>
      <c r="K112">
        <v>1200</v>
      </c>
      <c r="L112" t="s">
        <v>72</v>
      </c>
      <c r="M112" t="s">
        <v>61</v>
      </c>
      <c r="N112">
        <v>54</v>
      </c>
      <c r="O112" t="s">
        <v>62</v>
      </c>
    </row>
    <row r="113" spans="1:16" x14ac:dyDescent="0.35">
      <c r="A113">
        <v>112</v>
      </c>
      <c r="B113" t="s">
        <v>27</v>
      </c>
      <c r="D113" t="s">
        <v>63</v>
      </c>
      <c r="E113" t="s">
        <v>57</v>
      </c>
      <c r="F113">
        <v>3</v>
      </c>
      <c r="G113" t="s">
        <v>58</v>
      </c>
      <c r="H113">
        <v>70</v>
      </c>
      <c r="I113" t="s">
        <v>72</v>
      </c>
      <c r="J113">
        <v>28</v>
      </c>
      <c r="K113">
        <v>840</v>
      </c>
      <c r="L113" t="s">
        <v>72</v>
      </c>
      <c r="M113" t="s">
        <v>61</v>
      </c>
      <c r="N113">
        <v>54</v>
      </c>
      <c r="O113" t="s">
        <v>62</v>
      </c>
    </row>
    <row r="114" spans="1:16" x14ac:dyDescent="0.35">
      <c r="A114">
        <v>113</v>
      </c>
      <c r="B114" t="s">
        <v>27</v>
      </c>
      <c r="D114" t="s">
        <v>63</v>
      </c>
      <c r="E114" t="s">
        <v>57</v>
      </c>
      <c r="F114">
        <v>2</v>
      </c>
      <c r="G114" t="s">
        <v>58</v>
      </c>
      <c r="H114">
        <v>60</v>
      </c>
      <c r="I114" t="s">
        <v>72</v>
      </c>
      <c r="J114">
        <v>32</v>
      </c>
      <c r="K114">
        <v>640</v>
      </c>
      <c r="L114" t="s">
        <v>72</v>
      </c>
      <c r="M114" t="s">
        <v>61</v>
      </c>
      <c r="N114">
        <v>54</v>
      </c>
      <c r="O114" t="s">
        <v>62</v>
      </c>
    </row>
    <row r="115" spans="1:16" x14ac:dyDescent="0.35">
      <c r="A115">
        <v>114</v>
      </c>
      <c r="B115" t="s">
        <v>27</v>
      </c>
      <c r="D115" t="s">
        <v>63</v>
      </c>
      <c r="E115" t="s">
        <v>57</v>
      </c>
      <c r="F115">
        <v>8</v>
      </c>
      <c r="G115" t="s">
        <v>58</v>
      </c>
      <c r="H115">
        <v>55</v>
      </c>
      <c r="I115" t="s">
        <v>72</v>
      </c>
      <c r="J115">
        <v>40</v>
      </c>
      <c r="K115">
        <v>3200</v>
      </c>
      <c r="L115" t="s">
        <v>72</v>
      </c>
      <c r="M115" t="s">
        <v>61</v>
      </c>
      <c r="N115">
        <v>55</v>
      </c>
      <c r="O115" t="s">
        <v>62</v>
      </c>
    </row>
    <row r="116" spans="1:16" x14ac:dyDescent="0.35">
      <c r="A116">
        <v>115</v>
      </c>
      <c r="B116" t="s">
        <v>27</v>
      </c>
      <c r="D116" t="s">
        <v>63</v>
      </c>
      <c r="E116" t="s">
        <v>74</v>
      </c>
      <c r="F116">
        <v>3</v>
      </c>
      <c r="G116" t="s">
        <v>58</v>
      </c>
      <c r="H116">
        <v>60</v>
      </c>
      <c r="I116" t="s">
        <v>72</v>
      </c>
      <c r="J116">
        <v>15</v>
      </c>
      <c r="K116">
        <v>450</v>
      </c>
      <c r="L116" t="s">
        <v>72</v>
      </c>
      <c r="M116" t="s">
        <v>61</v>
      </c>
      <c r="N116">
        <v>55</v>
      </c>
      <c r="O116" t="s">
        <v>62</v>
      </c>
    </row>
    <row r="117" spans="1:16" x14ac:dyDescent="0.35">
      <c r="A117">
        <v>116</v>
      </c>
      <c r="B117" t="s">
        <v>27</v>
      </c>
      <c r="D117" t="s">
        <v>63</v>
      </c>
      <c r="E117" t="s">
        <v>57</v>
      </c>
      <c r="F117">
        <v>1</v>
      </c>
      <c r="G117" t="s">
        <v>105</v>
      </c>
      <c r="H117">
        <v>55</v>
      </c>
      <c r="I117" t="s">
        <v>72</v>
      </c>
      <c r="J117">
        <v>45</v>
      </c>
      <c r="K117">
        <v>450</v>
      </c>
      <c r="L117" t="s">
        <v>72</v>
      </c>
      <c r="M117" t="s">
        <v>61</v>
      </c>
      <c r="N117">
        <v>55</v>
      </c>
      <c r="O117" t="s">
        <v>62</v>
      </c>
    </row>
    <row r="118" spans="1:16" x14ac:dyDescent="0.35">
      <c r="A118">
        <v>117</v>
      </c>
      <c r="B118" t="s">
        <v>27</v>
      </c>
      <c r="D118" t="s">
        <v>63</v>
      </c>
      <c r="E118" t="s">
        <v>74</v>
      </c>
      <c r="F118">
        <v>1</v>
      </c>
      <c r="G118" t="s">
        <v>105</v>
      </c>
      <c r="H118">
        <v>70</v>
      </c>
      <c r="I118" t="s">
        <v>72</v>
      </c>
      <c r="J118">
        <v>12</v>
      </c>
      <c r="K118">
        <v>170</v>
      </c>
      <c r="L118" t="s">
        <v>72</v>
      </c>
      <c r="M118" t="s">
        <v>78</v>
      </c>
      <c r="N118">
        <v>55</v>
      </c>
      <c r="O118" t="s">
        <v>70</v>
      </c>
      <c r="P118" t="s">
        <v>121</v>
      </c>
    </row>
    <row r="119" spans="1:16" x14ac:dyDescent="0.35">
      <c r="A119">
        <v>118</v>
      </c>
      <c r="B119" t="s">
        <v>28</v>
      </c>
      <c r="D119" t="s">
        <v>63</v>
      </c>
      <c r="E119" t="s">
        <v>57</v>
      </c>
      <c r="F119">
        <v>32</v>
      </c>
      <c r="G119" t="s">
        <v>105</v>
      </c>
      <c r="H119">
        <v>70</v>
      </c>
      <c r="I119" t="s">
        <v>79</v>
      </c>
      <c r="J119">
        <v>32</v>
      </c>
      <c r="K119">
        <v>10240</v>
      </c>
      <c r="L119" t="s">
        <v>72</v>
      </c>
      <c r="M119" t="s">
        <v>61</v>
      </c>
      <c r="N119">
        <v>56</v>
      </c>
      <c r="O119" t="s">
        <v>62</v>
      </c>
      <c r="P119" t="s">
        <v>122</v>
      </c>
    </row>
    <row r="120" spans="1:16" x14ac:dyDescent="0.35">
      <c r="A120">
        <v>119</v>
      </c>
      <c r="B120" t="s">
        <v>28</v>
      </c>
      <c r="D120" t="s">
        <v>63</v>
      </c>
      <c r="E120" t="s">
        <v>57</v>
      </c>
      <c r="F120">
        <v>16</v>
      </c>
      <c r="G120" t="s">
        <v>105</v>
      </c>
      <c r="H120">
        <v>60</v>
      </c>
      <c r="I120" t="s">
        <v>79</v>
      </c>
      <c r="J120">
        <v>32</v>
      </c>
      <c r="K120">
        <v>5120</v>
      </c>
      <c r="L120" t="s">
        <v>72</v>
      </c>
      <c r="M120" t="s">
        <v>61</v>
      </c>
      <c r="N120">
        <v>56</v>
      </c>
      <c r="O120" t="s">
        <v>62</v>
      </c>
    </row>
    <row r="121" spans="1:16" x14ac:dyDescent="0.35">
      <c r="A121">
        <v>120</v>
      </c>
      <c r="B121" t="s">
        <v>28</v>
      </c>
      <c r="D121" t="s">
        <v>63</v>
      </c>
      <c r="E121" t="s">
        <v>74</v>
      </c>
      <c r="F121">
        <v>3</v>
      </c>
      <c r="G121" t="s">
        <v>105</v>
      </c>
      <c r="H121">
        <v>70</v>
      </c>
      <c r="I121" t="s">
        <v>72</v>
      </c>
      <c r="J121">
        <v>15</v>
      </c>
      <c r="K121">
        <v>450</v>
      </c>
      <c r="L121" t="s">
        <v>72</v>
      </c>
      <c r="M121" t="s">
        <v>61</v>
      </c>
      <c r="N121">
        <v>56</v>
      </c>
      <c r="O121" t="s">
        <v>62</v>
      </c>
    </row>
    <row r="122" spans="1:16" x14ac:dyDescent="0.35">
      <c r="A122">
        <v>121</v>
      </c>
      <c r="B122" t="s">
        <v>28</v>
      </c>
      <c r="D122" t="s">
        <v>63</v>
      </c>
      <c r="E122" t="s">
        <v>57</v>
      </c>
      <c r="F122">
        <v>4</v>
      </c>
      <c r="G122" t="s">
        <v>105</v>
      </c>
      <c r="H122">
        <v>55</v>
      </c>
      <c r="I122" t="s">
        <v>72</v>
      </c>
      <c r="J122">
        <v>40</v>
      </c>
      <c r="K122">
        <v>1600</v>
      </c>
      <c r="L122" t="s">
        <v>72</v>
      </c>
      <c r="M122" t="s">
        <v>61</v>
      </c>
      <c r="N122">
        <v>57</v>
      </c>
      <c r="O122" t="s">
        <v>62</v>
      </c>
    </row>
    <row r="123" spans="1:16" x14ac:dyDescent="0.35">
      <c r="A123">
        <v>122</v>
      </c>
      <c r="B123" t="s">
        <v>29</v>
      </c>
      <c r="D123" t="s">
        <v>63</v>
      </c>
      <c r="E123" t="s">
        <v>57</v>
      </c>
      <c r="F123">
        <v>1</v>
      </c>
      <c r="G123" t="s">
        <v>105</v>
      </c>
      <c r="H123">
        <v>60</v>
      </c>
      <c r="I123" t="s">
        <v>72</v>
      </c>
      <c r="J123">
        <v>30</v>
      </c>
      <c r="K123">
        <v>300</v>
      </c>
      <c r="L123" t="s">
        <v>72</v>
      </c>
      <c r="M123" t="s">
        <v>61</v>
      </c>
      <c r="N123">
        <v>58</v>
      </c>
      <c r="O123" t="s">
        <v>62</v>
      </c>
    </row>
    <row r="124" spans="1:16" x14ac:dyDescent="0.35">
      <c r="A124">
        <v>123</v>
      </c>
      <c r="B124" t="s">
        <v>29</v>
      </c>
      <c r="D124" t="s">
        <v>63</v>
      </c>
      <c r="E124" t="s">
        <v>74</v>
      </c>
      <c r="F124">
        <v>1</v>
      </c>
      <c r="G124" t="s">
        <v>105</v>
      </c>
      <c r="H124">
        <v>60</v>
      </c>
      <c r="I124" t="s">
        <v>72</v>
      </c>
      <c r="J124">
        <v>15</v>
      </c>
      <c r="K124">
        <v>150</v>
      </c>
      <c r="L124" t="s">
        <v>72</v>
      </c>
      <c r="M124" t="s">
        <v>61</v>
      </c>
      <c r="N124">
        <v>58</v>
      </c>
      <c r="O124" t="s">
        <v>62</v>
      </c>
    </row>
    <row r="125" spans="1:16" x14ac:dyDescent="0.35">
      <c r="A125">
        <v>124</v>
      </c>
      <c r="B125" t="s">
        <v>29</v>
      </c>
      <c r="D125" t="s">
        <v>63</v>
      </c>
      <c r="E125" t="s">
        <v>57</v>
      </c>
      <c r="F125">
        <v>13</v>
      </c>
      <c r="G125" t="s">
        <v>58</v>
      </c>
      <c r="H125">
        <v>50</v>
      </c>
      <c r="I125" t="s">
        <v>72</v>
      </c>
      <c r="J125">
        <v>40</v>
      </c>
      <c r="K125">
        <v>5200</v>
      </c>
      <c r="L125" t="s">
        <v>72</v>
      </c>
      <c r="M125" t="s">
        <v>61</v>
      </c>
      <c r="N125">
        <v>58</v>
      </c>
      <c r="O125" t="s">
        <v>62</v>
      </c>
    </row>
    <row r="126" spans="1:16" x14ac:dyDescent="0.35">
      <c r="A126">
        <v>125</v>
      </c>
      <c r="B126" t="s">
        <v>29</v>
      </c>
      <c r="D126" t="s">
        <v>63</v>
      </c>
      <c r="E126" t="s">
        <v>57</v>
      </c>
      <c r="F126">
        <v>5</v>
      </c>
      <c r="G126" t="s">
        <v>58</v>
      </c>
      <c r="H126">
        <v>60</v>
      </c>
      <c r="I126" t="s">
        <v>72</v>
      </c>
      <c r="J126">
        <v>32</v>
      </c>
      <c r="K126">
        <v>1600</v>
      </c>
      <c r="L126" t="s">
        <v>72</v>
      </c>
      <c r="M126" t="s">
        <v>61</v>
      </c>
      <c r="N126">
        <v>58</v>
      </c>
      <c r="O126" t="s">
        <v>62</v>
      </c>
    </row>
    <row r="127" spans="1:16" x14ac:dyDescent="0.35">
      <c r="A127">
        <v>126</v>
      </c>
      <c r="B127" t="s">
        <v>30</v>
      </c>
      <c r="D127" t="s">
        <v>63</v>
      </c>
      <c r="E127" t="s">
        <v>57</v>
      </c>
      <c r="F127">
        <v>15</v>
      </c>
      <c r="G127" t="s">
        <v>58</v>
      </c>
      <c r="H127">
        <v>50</v>
      </c>
      <c r="I127" t="s">
        <v>72</v>
      </c>
      <c r="J127">
        <v>40</v>
      </c>
      <c r="K127">
        <v>6000</v>
      </c>
      <c r="L127" t="s">
        <v>72</v>
      </c>
      <c r="M127" t="s">
        <v>61</v>
      </c>
      <c r="N127">
        <v>59</v>
      </c>
      <c r="O127" t="s">
        <v>62</v>
      </c>
    </row>
    <row r="128" spans="1:16" x14ac:dyDescent="0.35">
      <c r="A128">
        <v>127</v>
      </c>
      <c r="B128" t="s">
        <v>30</v>
      </c>
      <c r="D128" t="s">
        <v>63</v>
      </c>
      <c r="E128" t="s">
        <v>57</v>
      </c>
      <c r="F128">
        <v>2</v>
      </c>
      <c r="G128" t="s">
        <v>105</v>
      </c>
      <c r="H128">
        <v>50</v>
      </c>
      <c r="I128" t="s">
        <v>72</v>
      </c>
      <c r="J128">
        <v>40</v>
      </c>
      <c r="K128">
        <v>800</v>
      </c>
      <c r="L128" t="s">
        <v>72</v>
      </c>
      <c r="M128" t="s">
        <v>61</v>
      </c>
      <c r="N128">
        <v>59</v>
      </c>
      <c r="O128" t="s">
        <v>62</v>
      </c>
    </row>
    <row r="129" spans="1:15" x14ac:dyDescent="0.35">
      <c r="A129">
        <v>128</v>
      </c>
      <c r="B129" t="s">
        <v>30</v>
      </c>
      <c r="D129" t="s">
        <v>63</v>
      </c>
      <c r="E129" t="s">
        <v>57</v>
      </c>
      <c r="F129">
        <v>9</v>
      </c>
      <c r="G129" t="s">
        <v>58</v>
      </c>
      <c r="H129">
        <v>60</v>
      </c>
      <c r="I129" t="s">
        <v>72</v>
      </c>
      <c r="J129">
        <v>32</v>
      </c>
      <c r="K129">
        <v>2880</v>
      </c>
      <c r="L129" t="s">
        <v>72</v>
      </c>
      <c r="M129" t="s">
        <v>61</v>
      </c>
      <c r="N129">
        <v>59</v>
      </c>
      <c r="O129" t="s">
        <v>62</v>
      </c>
    </row>
    <row r="130" spans="1:15" x14ac:dyDescent="0.35">
      <c r="A130">
        <v>129</v>
      </c>
      <c r="B130" t="s">
        <v>30</v>
      </c>
      <c r="D130" t="s">
        <v>63</v>
      </c>
      <c r="E130" t="s">
        <v>57</v>
      </c>
      <c r="F130">
        <v>3</v>
      </c>
      <c r="G130" t="s">
        <v>58</v>
      </c>
      <c r="H130">
        <v>70</v>
      </c>
      <c r="I130" t="s">
        <v>72</v>
      </c>
      <c r="J130">
        <v>28</v>
      </c>
      <c r="K130">
        <v>840</v>
      </c>
      <c r="L130" t="s">
        <v>72</v>
      </c>
      <c r="M130" t="s">
        <v>61</v>
      </c>
      <c r="N130">
        <v>59</v>
      </c>
      <c r="O130" t="s">
        <v>62</v>
      </c>
    </row>
    <row r="131" spans="1:15" x14ac:dyDescent="0.35">
      <c r="A131">
        <v>130</v>
      </c>
      <c r="B131" t="s">
        <v>31</v>
      </c>
      <c r="D131" t="s">
        <v>63</v>
      </c>
      <c r="E131" t="s">
        <v>57</v>
      </c>
      <c r="F131">
        <v>8</v>
      </c>
      <c r="G131" t="s">
        <v>105</v>
      </c>
      <c r="H131">
        <v>50</v>
      </c>
      <c r="I131" t="s">
        <v>72</v>
      </c>
      <c r="J131">
        <v>40</v>
      </c>
      <c r="K131">
        <v>3200</v>
      </c>
      <c r="L131" t="s">
        <v>72</v>
      </c>
      <c r="M131" t="s">
        <v>61</v>
      </c>
      <c r="N131">
        <v>60</v>
      </c>
      <c r="O131" t="s">
        <v>62</v>
      </c>
    </row>
    <row r="132" spans="1:15" x14ac:dyDescent="0.35">
      <c r="A132">
        <v>131</v>
      </c>
      <c r="B132" t="s">
        <v>31</v>
      </c>
      <c r="D132" t="s">
        <v>63</v>
      </c>
      <c r="E132" t="s">
        <v>57</v>
      </c>
      <c r="F132">
        <v>1</v>
      </c>
      <c r="G132" t="s">
        <v>105</v>
      </c>
      <c r="H132">
        <v>60</v>
      </c>
      <c r="I132" t="s">
        <v>72</v>
      </c>
      <c r="J132">
        <v>30</v>
      </c>
      <c r="K132">
        <v>300</v>
      </c>
      <c r="L132" t="s">
        <v>72</v>
      </c>
      <c r="M132" t="s">
        <v>61</v>
      </c>
      <c r="N132">
        <v>60</v>
      </c>
      <c r="O132" t="s">
        <v>62</v>
      </c>
    </row>
    <row r="133" spans="1:15" x14ac:dyDescent="0.35">
      <c r="A133">
        <v>132</v>
      </c>
      <c r="B133" t="s">
        <v>31</v>
      </c>
      <c r="D133" t="s">
        <v>63</v>
      </c>
      <c r="E133" t="s">
        <v>74</v>
      </c>
      <c r="F133">
        <v>9</v>
      </c>
      <c r="G133" t="s">
        <v>105</v>
      </c>
      <c r="H133">
        <v>70</v>
      </c>
      <c r="I133" t="s">
        <v>72</v>
      </c>
      <c r="J133">
        <v>15</v>
      </c>
      <c r="K133">
        <v>1350</v>
      </c>
      <c r="L133" t="s">
        <v>72</v>
      </c>
      <c r="M133" t="s">
        <v>61</v>
      </c>
      <c r="N133">
        <v>60</v>
      </c>
      <c r="O133" t="s">
        <v>62</v>
      </c>
    </row>
    <row r="134" spans="1:15" x14ac:dyDescent="0.35">
      <c r="A134">
        <v>133</v>
      </c>
      <c r="B134" t="s">
        <v>31</v>
      </c>
      <c r="D134" t="s">
        <v>63</v>
      </c>
      <c r="E134" t="s">
        <v>120</v>
      </c>
      <c r="F134">
        <v>3</v>
      </c>
      <c r="G134" t="s">
        <v>58</v>
      </c>
      <c r="H134">
        <v>50</v>
      </c>
      <c r="I134" t="s">
        <v>72</v>
      </c>
      <c r="J134">
        <v>14</v>
      </c>
      <c r="K134">
        <v>420</v>
      </c>
      <c r="L134" t="s">
        <v>72</v>
      </c>
      <c r="M134" t="s">
        <v>61</v>
      </c>
      <c r="N134">
        <v>60</v>
      </c>
      <c r="O134" t="s">
        <v>62</v>
      </c>
    </row>
    <row r="135" spans="1:15" x14ac:dyDescent="0.35">
      <c r="A135">
        <v>134</v>
      </c>
      <c r="B135" t="s">
        <v>31</v>
      </c>
      <c r="D135" t="s">
        <v>63</v>
      </c>
      <c r="E135" t="s">
        <v>74</v>
      </c>
      <c r="F135">
        <v>6</v>
      </c>
      <c r="G135" t="s">
        <v>58</v>
      </c>
      <c r="H135">
        <v>70</v>
      </c>
      <c r="I135" t="s">
        <v>72</v>
      </c>
      <c r="J135">
        <v>15</v>
      </c>
      <c r="K135">
        <v>900</v>
      </c>
      <c r="L135" t="s">
        <v>72</v>
      </c>
      <c r="M135" t="s">
        <v>61</v>
      </c>
      <c r="N135">
        <v>60</v>
      </c>
      <c r="O135" t="s">
        <v>62</v>
      </c>
    </row>
    <row r="136" spans="1:15" x14ac:dyDescent="0.35">
      <c r="A136">
        <v>135</v>
      </c>
      <c r="B136" t="s">
        <v>32</v>
      </c>
      <c r="D136" t="s">
        <v>63</v>
      </c>
      <c r="E136" t="s">
        <v>57</v>
      </c>
      <c r="F136">
        <v>3</v>
      </c>
      <c r="G136" t="s">
        <v>58</v>
      </c>
      <c r="H136">
        <v>50</v>
      </c>
      <c r="I136" t="s">
        <v>72</v>
      </c>
      <c r="J136">
        <v>40</v>
      </c>
      <c r="K136">
        <v>1200</v>
      </c>
      <c r="L136" t="s">
        <v>72</v>
      </c>
      <c r="M136" t="s">
        <v>61</v>
      </c>
      <c r="N136">
        <v>62</v>
      </c>
      <c r="O136" t="s">
        <v>62</v>
      </c>
    </row>
    <row r="137" spans="1:15" x14ac:dyDescent="0.35">
      <c r="A137">
        <v>136</v>
      </c>
      <c r="B137" t="s">
        <v>32</v>
      </c>
      <c r="D137" t="s">
        <v>63</v>
      </c>
      <c r="E137" t="s">
        <v>74</v>
      </c>
      <c r="F137">
        <v>2</v>
      </c>
      <c r="G137" t="s">
        <v>105</v>
      </c>
      <c r="H137">
        <v>70</v>
      </c>
      <c r="I137" t="s">
        <v>72</v>
      </c>
      <c r="J137">
        <v>15</v>
      </c>
      <c r="K137">
        <v>300</v>
      </c>
      <c r="L137" t="s">
        <v>72</v>
      </c>
      <c r="M137" t="s">
        <v>61</v>
      </c>
      <c r="N137">
        <v>62</v>
      </c>
      <c r="O137" t="s">
        <v>62</v>
      </c>
    </row>
    <row r="138" spans="1:15" x14ac:dyDescent="0.35">
      <c r="A138">
        <v>137</v>
      </c>
      <c r="B138" t="s">
        <v>32</v>
      </c>
      <c r="D138" t="s">
        <v>63</v>
      </c>
      <c r="E138" t="s">
        <v>57</v>
      </c>
      <c r="F138">
        <v>10</v>
      </c>
      <c r="G138" t="s">
        <v>105</v>
      </c>
      <c r="H138">
        <v>55</v>
      </c>
      <c r="I138" t="s">
        <v>72</v>
      </c>
      <c r="J138">
        <v>32</v>
      </c>
      <c r="K138">
        <v>3200</v>
      </c>
      <c r="L138" t="s">
        <v>72</v>
      </c>
      <c r="M138" t="s">
        <v>61</v>
      </c>
      <c r="N138">
        <v>62</v>
      </c>
      <c r="O138" t="s">
        <v>62</v>
      </c>
    </row>
    <row r="139" spans="1:15" x14ac:dyDescent="0.35">
      <c r="A139">
        <v>138</v>
      </c>
      <c r="B139" t="s">
        <v>32</v>
      </c>
      <c r="D139" t="s">
        <v>63</v>
      </c>
      <c r="E139" t="s">
        <v>57</v>
      </c>
      <c r="F139">
        <v>9</v>
      </c>
      <c r="G139" t="s">
        <v>105</v>
      </c>
      <c r="H139">
        <v>60</v>
      </c>
      <c r="I139" t="s">
        <v>72</v>
      </c>
      <c r="J139">
        <v>32</v>
      </c>
      <c r="K139">
        <v>2880</v>
      </c>
      <c r="L139" t="s">
        <v>72</v>
      </c>
      <c r="M139" t="s">
        <v>61</v>
      </c>
      <c r="N139">
        <v>62</v>
      </c>
      <c r="O139" t="s">
        <v>62</v>
      </c>
    </row>
    <row r="140" spans="1:15" x14ac:dyDescent="0.35">
      <c r="A140">
        <v>139</v>
      </c>
      <c r="B140" t="s">
        <v>123</v>
      </c>
      <c r="D140" t="s">
        <v>63</v>
      </c>
      <c r="E140" t="s">
        <v>57</v>
      </c>
      <c r="F140">
        <v>4</v>
      </c>
      <c r="G140" t="s">
        <v>105</v>
      </c>
      <c r="H140">
        <v>60</v>
      </c>
      <c r="I140" t="s">
        <v>79</v>
      </c>
      <c r="J140">
        <v>30</v>
      </c>
      <c r="K140">
        <v>1200</v>
      </c>
      <c r="L140" t="s">
        <v>72</v>
      </c>
      <c r="M140" t="s">
        <v>61</v>
      </c>
      <c r="N140">
        <v>63</v>
      </c>
      <c r="O140" t="s">
        <v>62</v>
      </c>
    </row>
    <row r="141" spans="1:15" x14ac:dyDescent="0.35">
      <c r="A141">
        <v>140</v>
      </c>
      <c r="B141" t="s">
        <v>124</v>
      </c>
      <c r="F141">
        <v>0</v>
      </c>
      <c r="J141">
        <v>0</v>
      </c>
      <c r="K141">
        <v>72710</v>
      </c>
      <c r="O141" t="s">
        <v>70</v>
      </c>
    </row>
    <row r="142" spans="1:15" x14ac:dyDescent="0.35">
      <c r="A142">
        <v>141</v>
      </c>
      <c r="B142" t="s">
        <v>123</v>
      </c>
      <c r="D142" t="s">
        <v>63</v>
      </c>
      <c r="E142" t="s">
        <v>57</v>
      </c>
      <c r="F142">
        <v>2</v>
      </c>
      <c r="G142" t="s">
        <v>58</v>
      </c>
      <c r="H142">
        <v>50</v>
      </c>
      <c r="I142" t="s">
        <v>72</v>
      </c>
      <c r="J142">
        <v>20</v>
      </c>
      <c r="K142">
        <v>250</v>
      </c>
      <c r="L142" t="s">
        <v>72</v>
      </c>
      <c r="M142" t="s">
        <v>61</v>
      </c>
      <c r="N142">
        <v>64</v>
      </c>
      <c r="O142" t="s">
        <v>62</v>
      </c>
    </row>
    <row r="143" spans="1:15" x14ac:dyDescent="0.35">
      <c r="A143">
        <v>142</v>
      </c>
      <c r="B143" t="s">
        <v>123</v>
      </c>
      <c r="D143" t="s">
        <v>63</v>
      </c>
      <c r="E143" t="s">
        <v>57</v>
      </c>
      <c r="F143">
        <v>1</v>
      </c>
      <c r="G143" t="s">
        <v>58</v>
      </c>
      <c r="H143">
        <v>55</v>
      </c>
      <c r="I143" t="s">
        <v>72</v>
      </c>
      <c r="J143">
        <v>20</v>
      </c>
      <c r="K143">
        <v>310</v>
      </c>
      <c r="L143" t="s">
        <v>72</v>
      </c>
      <c r="M143" t="s">
        <v>61</v>
      </c>
      <c r="N143">
        <v>64</v>
      </c>
      <c r="O143" t="s">
        <v>62</v>
      </c>
    </row>
    <row r="144" spans="1:15" x14ac:dyDescent="0.35">
      <c r="A144">
        <v>143</v>
      </c>
      <c r="B144" t="s">
        <v>123</v>
      </c>
      <c r="D144" t="s">
        <v>63</v>
      </c>
      <c r="E144" t="s">
        <v>57</v>
      </c>
      <c r="F144">
        <v>1</v>
      </c>
      <c r="G144" t="s">
        <v>58</v>
      </c>
      <c r="H144">
        <v>60</v>
      </c>
      <c r="I144" t="s">
        <v>72</v>
      </c>
      <c r="J144">
        <v>20</v>
      </c>
      <c r="K144">
        <v>190</v>
      </c>
      <c r="L144" t="s">
        <v>72</v>
      </c>
      <c r="M144" t="s">
        <v>61</v>
      </c>
      <c r="N144">
        <v>64</v>
      </c>
      <c r="O144" t="s">
        <v>62</v>
      </c>
    </row>
    <row r="145" spans="1:15" x14ac:dyDescent="0.35">
      <c r="A145">
        <v>144</v>
      </c>
      <c r="B145" t="s">
        <v>123</v>
      </c>
      <c r="D145" t="s">
        <v>63</v>
      </c>
      <c r="E145" t="s">
        <v>57</v>
      </c>
      <c r="F145">
        <v>1</v>
      </c>
      <c r="G145" t="s">
        <v>58</v>
      </c>
      <c r="H145">
        <v>70</v>
      </c>
      <c r="I145" t="s">
        <v>72</v>
      </c>
      <c r="J145">
        <v>20</v>
      </c>
      <c r="K145">
        <v>170</v>
      </c>
      <c r="L145" t="s">
        <v>72</v>
      </c>
      <c r="M145" t="s">
        <v>61</v>
      </c>
      <c r="N145">
        <v>64</v>
      </c>
      <c r="O145" t="s">
        <v>62</v>
      </c>
    </row>
    <row r="146" spans="1:15" x14ac:dyDescent="0.35">
      <c r="A146">
        <v>145</v>
      </c>
      <c r="B146" t="s">
        <v>33</v>
      </c>
      <c r="D146" t="s">
        <v>63</v>
      </c>
      <c r="E146" t="s">
        <v>57</v>
      </c>
      <c r="F146">
        <v>4</v>
      </c>
      <c r="G146" t="s">
        <v>105</v>
      </c>
      <c r="H146">
        <v>55</v>
      </c>
      <c r="I146" t="s">
        <v>72</v>
      </c>
      <c r="J146">
        <v>32</v>
      </c>
      <c r="K146">
        <v>1280</v>
      </c>
      <c r="L146" t="s">
        <v>72</v>
      </c>
      <c r="M146" t="s">
        <v>61</v>
      </c>
      <c r="N146">
        <v>65</v>
      </c>
      <c r="O146" t="s">
        <v>62</v>
      </c>
    </row>
    <row r="147" spans="1:15" x14ac:dyDescent="0.35">
      <c r="A147">
        <v>146</v>
      </c>
      <c r="B147" t="s">
        <v>33</v>
      </c>
      <c r="D147" t="s">
        <v>63</v>
      </c>
      <c r="E147" t="s">
        <v>57</v>
      </c>
      <c r="F147">
        <v>2</v>
      </c>
      <c r="G147" t="s">
        <v>105</v>
      </c>
      <c r="H147">
        <v>60</v>
      </c>
      <c r="I147" t="s">
        <v>72</v>
      </c>
      <c r="J147">
        <v>32</v>
      </c>
      <c r="K147">
        <v>640</v>
      </c>
      <c r="L147" t="s">
        <v>72</v>
      </c>
      <c r="M147" t="s">
        <v>61</v>
      </c>
      <c r="N147">
        <v>65</v>
      </c>
      <c r="O147" t="s">
        <v>62</v>
      </c>
    </row>
    <row r="148" spans="1:15" x14ac:dyDescent="0.35">
      <c r="A148">
        <v>147</v>
      </c>
      <c r="B148" t="s">
        <v>125</v>
      </c>
      <c r="D148" t="s">
        <v>63</v>
      </c>
      <c r="E148" t="s">
        <v>57</v>
      </c>
      <c r="F148">
        <v>4</v>
      </c>
      <c r="G148" t="s">
        <v>105</v>
      </c>
      <c r="H148">
        <v>55</v>
      </c>
      <c r="I148" t="s">
        <v>72</v>
      </c>
      <c r="J148">
        <v>30</v>
      </c>
      <c r="K148">
        <v>1560</v>
      </c>
      <c r="L148" t="s">
        <v>72</v>
      </c>
      <c r="M148" t="s">
        <v>61</v>
      </c>
      <c r="N148">
        <v>66</v>
      </c>
      <c r="O148" t="s">
        <v>62</v>
      </c>
    </row>
    <row r="149" spans="1:15" x14ac:dyDescent="0.35">
      <c r="A149">
        <v>148</v>
      </c>
      <c r="B149" t="s">
        <v>125</v>
      </c>
      <c r="D149" t="s">
        <v>63</v>
      </c>
      <c r="E149" t="s">
        <v>57</v>
      </c>
      <c r="F149">
        <v>3</v>
      </c>
      <c r="G149" t="s">
        <v>105</v>
      </c>
      <c r="H149">
        <v>60</v>
      </c>
      <c r="I149" t="s">
        <v>72</v>
      </c>
      <c r="J149">
        <v>25</v>
      </c>
      <c r="K149">
        <v>850</v>
      </c>
      <c r="L149" t="s">
        <v>72</v>
      </c>
      <c r="M149" t="s">
        <v>61</v>
      </c>
      <c r="N149">
        <v>66</v>
      </c>
      <c r="O149" t="s">
        <v>62</v>
      </c>
    </row>
    <row r="150" spans="1:15" x14ac:dyDescent="0.35">
      <c r="A150">
        <v>149</v>
      </c>
      <c r="B150" t="s">
        <v>125</v>
      </c>
      <c r="D150" t="s">
        <v>63</v>
      </c>
      <c r="E150" t="s">
        <v>57</v>
      </c>
      <c r="F150">
        <v>1</v>
      </c>
      <c r="G150" t="s">
        <v>105</v>
      </c>
      <c r="H150">
        <v>70</v>
      </c>
      <c r="I150" t="s">
        <v>72</v>
      </c>
      <c r="J150">
        <v>29</v>
      </c>
      <c r="K150">
        <v>290</v>
      </c>
      <c r="L150" t="s">
        <v>72</v>
      </c>
      <c r="M150" t="s">
        <v>61</v>
      </c>
      <c r="N150">
        <v>66</v>
      </c>
      <c r="O150" t="s">
        <v>62</v>
      </c>
    </row>
    <row r="151" spans="1:15" x14ac:dyDescent="0.35">
      <c r="A151">
        <v>150</v>
      </c>
      <c r="B151" t="s">
        <v>126</v>
      </c>
      <c r="D151" t="s">
        <v>63</v>
      </c>
      <c r="E151" t="s">
        <v>57</v>
      </c>
      <c r="F151">
        <v>2</v>
      </c>
      <c r="G151" t="s">
        <v>58</v>
      </c>
      <c r="H151">
        <v>55</v>
      </c>
      <c r="I151" t="s">
        <v>72</v>
      </c>
      <c r="J151">
        <v>32</v>
      </c>
      <c r="K151">
        <v>640</v>
      </c>
      <c r="L151" t="s">
        <v>72</v>
      </c>
      <c r="M151" t="s">
        <v>61</v>
      </c>
      <c r="N151">
        <v>67</v>
      </c>
      <c r="O151" t="s">
        <v>62</v>
      </c>
    </row>
    <row r="152" spans="1:15" x14ac:dyDescent="0.35">
      <c r="A152">
        <v>151</v>
      </c>
      <c r="B152" t="s">
        <v>126</v>
      </c>
      <c r="D152" t="s">
        <v>63</v>
      </c>
      <c r="E152" t="s">
        <v>57</v>
      </c>
      <c r="F152">
        <v>1</v>
      </c>
      <c r="G152" t="s">
        <v>58</v>
      </c>
      <c r="H152">
        <v>60</v>
      </c>
      <c r="I152" t="s">
        <v>72</v>
      </c>
      <c r="J152">
        <v>32</v>
      </c>
      <c r="K152">
        <v>320</v>
      </c>
      <c r="L152" t="s">
        <v>72</v>
      </c>
      <c r="M152" t="s">
        <v>61</v>
      </c>
      <c r="N152">
        <v>67</v>
      </c>
      <c r="O152" t="s">
        <v>62</v>
      </c>
    </row>
    <row r="153" spans="1:15" x14ac:dyDescent="0.35">
      <c r="A153">
        <v>152</v>
      </c>
      <c r="B153" t="s">
        <v>127</v>
      </c>
      <c r="F153">
        <v>0</v>
      </c>
      <c r="J153">
        <v>0</v>
      </c>
      <c r="K153">
        <v>6500</v>
      </c>
      <c r="O153" t="s">
        <v>70</v>
      </c>
    </row>
    <row r="154" spans="1:15" x14ac:dyDescent="0.35">
      <c r="A154">
        <v>153</v>
      </c>
      <c r="B154" t="s">
        <v>128</v>
      </c>
      <c r="D154" t="s">
        <v>63</v>
      </c>
      <c r="E154" t="s">
        <v>57</v>
      </c>
      <c r="F154">
        <v>1</v>
      </c>
      <c r="G154" t="s">
        <v>105</v>
      </c>
      <c r="H154">
        <v>55</v>
      </c>
      <c r="I154" t="s">
        <v>72</v>
      </c>
      <c r="J154">
        <v>26</v>
      </c>
      <c r="K154">
        <v>260</v>
      </c>
      <c r="L154" t="s">
        <v>72</v>
      </c>
      <c r="M154" t="s">
        <v>61</v>
      </c>
      <c r="N154">
        <v>68</v>
      </c>
      <c r="O154" t="s">
        <v>62</v>
      </c>
    </row>
    <row r="155" spans="1:15" x14ac:dyDescent="0.35">
      <c r="A155">
        <v>154</v>
      </c>
      <c r="B155" t="s">
        <v>128</v>
      </c>
      <c r="D155" t="s">
        <v>63</v>
      </c>
      <c r="E155" t="s">
        <v>57</v>
      </c>
      <c r="F155">
        <v>10</v>
      </c>
      <c r="G155" t="s">
        <v>64</v>
      </c>
      <c r="H155">
        <v>70</v>
      </c>
      <c r="I155" t="s">
        <v>72</v>
      </c>
      <c r="J155">
        <v>25</v>
      </c>
      <c r="K155">
        <v>2720</v>
      </c>
      <c r="L155" t="s">
        <v>72</v>
      </c>
      <c r="M155" t="s">
        <v>61</v>
      </c>
      <c r="N155">
        <v>68</v>
      </c>
      <c r="O155" t="s">
        <v>62</v>
      </c>
    </row>
    <row r="156" spans="1:15" x14ac:dyDescent="0.35">
      <c r="A156">
        <v>155</v>
      </c>
      <c r="B156" t="s">
        <v>128</v>
      </c>
      <c r="D156" t="s">
        <v>63</v>
      </c>
      <c r="E156" t="s">
        <v>57</v>
      </c>
      <c r="F156">
        <v>4</v>
      </c>
      <c r="G156" t="s">
        <v>64</v>
      </c>
      <c r="H156">
        <v>60</v>
      </c>
      <c r="I156" t="s">
        <v>72</v>
      </c>
      <c r="J156">
        <v>30</v>
      </c>
      <c r="K156">
        <v>1050</v>
      </c>
      <c r="L156" t="s">
        <v>72</v>
      </c>
      <c r="M156" t="s">
        <v>61</v>
      </c>
      <c r="N156">
        <v>68</v>
      </c>
      <c r="O156" t="s">
        <v>62</v>
      </c>
    </row>
    <row r="157" spans="1:15" x14ac:dyDescent="0.35">
      <c r="A157">
        <v>156</v>
      </c>
      <c r="B157" t="s">
        <v>128</v>
      </c>
      <c r="D157" t="s">
        <v>63</v>
      </c>
      <c r="E157" t="s">
        <v>57</v>
      </c>
      <c r="F157">
        <v>1</v>
      </c>
      <c r="G157" t="s">
        <v>64</v>
      </c>
      <c r="H157">
        <v>55</v>
      </c>
      <c r="I157" t="s">
        <v>72</v>
      </c>
      <c r="J157">
        <v>23</v>
      </c>
      <c r="K157">
        <v>230</v>
      </c>
      <c r="L157" t="s">
        <v>72</v>
      </c>
      <c r="M157" t="s">
        <v>61</v>
      </c>
      <c r="N157">
        <v>68</v>
      </c>
      <c r="O157" t="s">
        <v>62</v>
      </c>
    </row>
    <row r="158" spans="1:15" x14ac:dyDescent="0.35">
      <c r="A158">
        <v>157</v>
      </c>
      <c r="B158" t="s">
        <v>128</v>
      </c>
      <c r="D158" t="s">
        <v>63</v>
      </c>
      <c r="E158" t="s">
        <v>57</v>
      </c>
      <c r="F158">
        <v>1</v>
      </c>
      <c r="G158" t="s">
        <v>58</v>
      </c>
      <c r="H158">
        <v>70</v>
      </c>
      <c r="I158" t="s">
        <v>72</v>
      </c>
      <c r="J158">
        <v>25</v>
      </c>
      <c r="K158">
        <v>350</v>
      </c>
      <c r="L158" t="s">
        <v>72</v>
      </c>
      <c r="M158" t="s">
        <v>61</v>
      </c>
      <c r="N158">
        <v>68</v>
      </c>
      <c r="O158" t="s">
        <v>62</v>
      </c>
    </row>
    <row r="159" spans="1:15" x14ac:dyDescent="0.35">
      <c r="A159">
        <v>158</v>
      </c>
      <c r="B159" t="s">
        <v>128</v>
      </c>
      <c r="D159" t="s">
        <v>63</v>
      </c>
      <c r="E159" t="s">
        <v>57</v>
      </c>
      <c r="F159">
        <v>1</v>
      </c>
      <c r="G159" t="s">
        <v>58</v>
      </c>
      <c r="H159">
        <v>60</v>
      </c>
      <c r="I159" t="s">
        <v>72</v>
      </c>
      <c r="J159">
        <v>20</v>
      </c>
      <c r="K159">
        <v>380</v>
      </c>
      <c r="L159" t="s">
        <v>72</v>
      </c>
      <c r="M159" t="s">
        <v>61</v>
      </c>
      <c r="N159">
        <v>68</v>
      </c>
      <c r="O159" t="s">
        <v>62</v>
      </c>
    </row>
    <row r="160" spans="1:15" x14ac:dyDescent="0.35">
      <c r="A160">
        <v>159</v>
      </c>
      <c r="B160" t="s">
        <v>128</v>
      </c>
      <c r="D160" t="s">
        <v>63</v>
      </c>
      <c r="E160" t="s">
        <v>57</v>
      </c>
      <c r="F160">
        <v>1</v>
      </c>
      <c r="G160" t="s">
        <v>58</v>
      </c>
      <c r="H160">
        <v>55</v>
      </c>
      <c r="I160" t="s">
        <v>72</v>
      </c>
      <c r="J160">
        <v>30</v>
      </c>
      <c r="K160">
        <v>430</v>
      </c>
      <c r="L160" t="s">
        <v>72</v>
      </c>
      <c r="M160" t="s">
        <v>61</v>
      </c>
      <c r="N160">
        <v>68</v>
      </c>
      <c r="O160" t="s">
        <v>62</v>
      </c>
    </row>
    <row r="161" spans="1:15" x14ac:dyDescent="0.35">
      <c r="A161">
        <v>160</v>
      </c>
      <c r="B161" t="s">
        <v>37</v>
      </c>
      <c r="D161" t="s">
        <v>63</v>
      </c>
      <c r="E161" t="s">
        <v>57</v>
      </c>
      <c r="F161">
        <v>10</v>
      </c>
      <c r="G161" t="s">
        <v>58</v>
      </c>
      <c r="H161">
        <v>70</v>
      </c>
      <c r="I161" t="s">
        <v>72</v>
      </c>
      <c r="J161">
        <v>30</v>
      </c>
      <c r="K161">
        <v>3000</v>
      </c>
      <c r="L161" t="s">
        <v>72</v>
      </c>
      <c r="M161" t="s">
        <v>61</v>
      </c>
      <c r="N161">
        <v>69</v>
      </c>
      <c r="O161" t="s">
        <v>62</v>
      </c>
    </row>
    <row r="162" spans="1:15" x14ac:dyDescent="0.35">
      <c r="A162">
        <v>161</v>
      </c>
      <c r="B162" t="s">
        <v>37</v>
      </c>
      <c r="D162" t="s">
        <v>63</v>
      </c>
      <c r="E162" t="s">
        <v>74</v>
      </c>
      <c r="F162">
        <v>1</v>
      </c>
      <c r="G162" t="s">
        <v>58</v>
      </c>
      <c r="H162">
        <v>70</v>
      </c>
      <c r="I162" t="s">
        <v>72</v>
      </c>
      <c r="J162">
        <v>15</v>
      </c>
      <c r="K162">
        <v>150</v>
      </c>
      <c r="L162" t="s">
        <v>72</v>
      </c>
      <c r="M162" t="s">
        <v>61</v>
      </c>
      <c r="N162">
        <v>69</v>
      </c>
      <c r="O162" t="s">
        <v>62</v>
      </c>
    </row>
    <row r="163" spans="1:15" x14ac:dyDescent="0.35">
      <c r="A163">
        <v>162</v>
      </c>
      <c r="B163" t="s">
        <v>39</v>
      </c>
      <c r="D163" t="s">
        <v>63</v>
      </c>
      <c r="E163" t="s">
        <v>57</v>
      </c>
      <c r="F163">
        <v>9</v>
      </c>
      <c r="G163" t="s">
        <v>58</v>
      </c>
      <c r="H163">
        <v>55</v>
      </c>
      <c r="I163" t="s">
        <v>79</v>
      </c>
      <c r="J163">
        <v>32</v>
      </c>
      <c r="K163">
        <v>2880</v>
      </c>
      <c r="L163" t="s">
        <v>72</v>
      </c>
      <c r="M163" t="s">
        <v>61</v>
      </c>
      <c r="N163">
        <v>70</v>
      </c>
      <c r="O163" t="s">
        <v>62</v>
      </c>
    </row>
    <row r="164" spans="1:15" x14ac:dyDescent="0.35">
      <c r="A164">
        <v>163</v>
      </c>
      <c r="B164" t="s">
        <v>39</v>
      </c>
      <c r="D164" t="s">
        <v>63</v>
      </c>
      <c r="E164" t="s">
        <v>57</v>
      </c>
      <c r="F164">
        <v>1</v>
      </c>
      <c r="G164" t="s">
        <v>58</v>
      </c>
      <c r="H164">
        <v>60</v>
      </c>
      <c r="I164" t="s">
        <v>79</v>
      </c>
      <c r="J164">
        <v>32</v>
      </c>
      <c r="K164">
        <v>320</v>
      </c>
      <c r="L164" t="s">
        <v>72</v>
      </c>
      <c r="M164" t="s">
        <v>61</v>
      </c>
      <c r="N164">
        <v>70</v>
      </c>
      <c r="O164" t="s">
        <v>62</v>
      </c>
    </row>
    <row r="165" spans="1:15" x14ac:dyDescent="0.35">
      <c r="A165">
        <v>164</v>
      </c>
      <c r="B165" t="s">
        <v>39</v>
      </c>
      <c r="D165" t="s">
        <v>63</v>
      </c>
      <c r="E165" t="s">
        <v>57</v>
      </c>
      <c r="F165">
        <v>2</v>
      </c>
      <c r="G165" t="s">
        <v>58</v>
      </c>
      <c r="H165">
        <v>50</v>
      </c>
      <c r="I165" t="s">
        <v>72</v>
      </c>
      <c r="J165">
        <v>40</v>
      </c>
      <c r="K165">
        <v>800</v>
      </c>
      <c r="L165" t="s">
        <v>72</v>
      </c>
      <c r="M165" t="s">
        <v>61</v>
      </c>
      <c r="N165">
        <v>70</v>
      </c>
      <c r="O165" t="s">
        <v>62</v>
      </c>
    </row>
    <row r="166" spans="1:15" x14ac:dyDescent="0.35">
      <c r="A166">
        <v>165</v>
      </c>
      <c r="B166" t="s">
        <v>39</v>
      </c>
      <c r="D166" t="s">
        <v>63</v>
      </c>
      <c r="E166" t="s">
        <v>74</v>
      </c>
      <c r="F166">
        <v>1</v>
      </c>
      <c r="G166" t="s">
        <v>58</v>
      </c>
      <c r="H166">
        <v>70</v>
      </c>
      <c r="I166" t="s">
        <v>72</v>
      </c>
      <c r="J166">
        <v>15</v>
      </c>
      <c r="K166">
        <v>150</v>
      </c>
      <c r="L166" t="s">
        <v>72</v>
      </c>
      <c r="M166" t="s">
        <v>61</v>
      </c>
      <c r="N166">
        <v>70</v>
      </c>
      <c r="O166" t="s">
        <v>62</v>
      </c>
    </row>
    <row r="167" spans="1:15" x14ac:dyDescent="0.35">
      <c r="A167">
        <v>166</v>
      </c>
      <c r="B167" t="s">
        <v>39</v>
      </c>
      <c r="D167" t="s">
        <v>63</v>
      </c>
      <c r="E167" t="s">
        <v>57</v>
      </c>
      <c r="F167">
        <v>6</v>
      </c>
      <c r="G167" t="s">
        <v>58</v>
      </c>
      <c r="H167">
        <v>50</v>
      </c>
      <c r="I167" t="s">
        <v>72</v>
      </c>
      <c r="J167">
        <v>30</v>
      </c>
      <c r="K167">
        <v>1980</v>
      </c>
      <c r="L167" t="s">
        <v>72</v>
      </c>
      <c r="M167" t="s">
        <v>61</v>
      </c>
      <c r="N167">
        <v>72</v>
      </c>
      <c r="O167" t="s">
        <v>62</v>
      </c>
    </row>
    <row r="168" spans="1:15" x14ac:dyDescent="0.35">
      <c r="A168">
        <v>167</v>
      </c>
      <c r="B168" t="s">
        <v>39</v>
      </c>
      <c r="D168" t="s">
        <v>63</v>
      </c>
      <c r="E168" t="s">
        <v>57</v>
      </c>
      <c r="F168">
        <v>4</v>
      </c>
      <c r="G168" t="s">
        <v>58</v>
      </c>
      <c r="H168">
        <v>55</v>
      </c>
      <c r="I168" t="s">
        <v>72</v>
      </c>
      <c r="J168">
        <v>30</v>
      </c>
      <c r="K168">
        <v>1250</v>
      </c>
      <c r="L168" t="s">
        <v>72</v>
      </c>
      <c r="M168" t="s">
        <v>61</v>
      </c>
      <c r="N168">
        <v>72</v>
      </c>
      <c r="O168" t="s">
        <v>62</v>
      </c>
    </row>
    <row r="169" spans="1:15" x14ac:dyDescent="0.35">
      <c r="A169">
        <v>168</v>
      </c>
      <c r="B169" t="s">
        <v>39</v>
      </c>
      <c r="D169" t="s">
        <v>63</v>
      </c>
      <c r="E169" t="s">
        <v>57</v>
      </c>
      <c r="F169">
        <v>1</v>
      </c>
      <c r="G169" t="s">
        <v>58</v>
      </c>
      <c r="H169">
        <v>60</v>
      </c>
      <c r="I169" t="s">
        <v>72</v>
      </c>
      <c r="J169">
        <v>15</v>
      </c>
      <c r="K169">
        <v>150</v>
      </c>
      <c r="L169" t="s">
        <v>72</v>
      </c>
      <c r="M169" t="s">
        <v>61</v>
      </c>
      <c r="N169">
        <v>72</v>
      </c>
      <c r="O169" t="s">
        <v>62</v>
      </c>
    </row>
    <row r="170" spans="1:15" x14ac:dyDescent="0.35">
      <c r="A170">
        <v>169</v>
      </c>
      <c r="B170" t="s">
        <v>39</v>
      </c>
      <c r="D170" t="s">
        <v>63</v>
      </c>
      <c r="E170" t="s">
        <v>57</v>
      </c>
      <c r="F170">
        <v>1</v>
      </c>
      <c r="G170" t="s">
        <v>64</v>
      </c>
      <c r="H170">
        <v>50</v>
      </c>
      <c r="I170" t="s">
        <v>72</v>
      </c>
      <c r="J170">
        <v>36</v>
      </c>
      <c r="K170">
        <v>360</v>
      </c>
      <c r="L170" t="s">
        <v>72</v>
      </c>
      <c r="M170" t="s">
        <v>61</v>
      </c>
      <c r="N170">
        <v>72</v>
      </c>
      <c r="O170" t="s">
        <v>62</v>
      </c>
    </row>
    <row r="171" spans="1:15" x14ac:dyDescent="0.35">
      <c r="A171">
        <v>170</v>
      </c>
      <c r="B171" t="s">
        <v>39</v>
      </c>
      <c r="D171" t="s">
        <v>63</v>
      </c>
      <c r="E171" t="s">
        <v>57</v>
      </c>
      <c r="F171">
        <v>2</v>
      </c>
      <c r="G171" t="s">
        <v>64</v>
      </c>
      <c r="H171">
        <v>55</v>
      </c>
      <c r="I171" t="s">
        <v>72</v>
      </c>
      <c r="J171">
        <v>30</v>
      </c>
      <c r="K171">
        <v>740</v>
      </c>
      <c r="L171" t="s">
        <v>72</v>
      </c>
      <c r="M171" t="s">
        <v>61</v>
      </c>
      <c r="N171">
        <v>72</v>
      </c>
      <c r="O171" t="s">
        <v>62</v>
      </c>
    </row>
    <row r="172" spans="1:15" x14ac:dyDescent="0.35">
      <c r="A172">
        <v>171</v>
      </c>
      <c r="B172" t="s">
        <v>39</v>
      </c>
      <c r="D172" t="s">
        <v>63</v>
      </c>
      <c r="E172" t="s">
        <v>57</v>
      </c>
      <c r="F172">
        <v>8</v>
      </c>
      <c r="G172" t="s">
        <v>64</v>
      </c>
      <c r="H172">
        <v>60</v>
      </c>
      <c r="I172" t="s">
        <v>72</v>
      </c>
      <c r="J172">
        <v>30</v>
      </c>
      <c r="K172">
        <v>2180</v>
      </c>
      <c r="L172" t="s">
        <v>72</v>
      </c>
      <c r="M172" t="s">
        <v>61</v>
      </c>
      <c r="N172">
        <v>72</v>
      </c>
      <c r="O172" t="s">
        <v>62</v>
      </c>
    </row>
    <row r="173" spans="1:15" x14ac:dyDescent="0.35">
      <c r="A173">
        <v>172</v>
      </c>
      <c r="B173" t="s">
        <v>39</v>
      </c>
      <c r="D173" t="s">
        <v>63</v>
      </c>
      <c r="E173" t="s">
        <v>57</v>
      </c>
      <c r="F173">
        <v>8</v>
      </c>
      <c r="G173" t="s">
        <v>64</v>
      </c>
      <c r="H173">
        <v>70</v>
      </c>
      <c r="I173" t="s">
        <v>72</v>
      </c>
      <c r="J173">
        <v>30</v>
      </c>
      <c r="K173">
        <v>2300</v>
      </c>
      <c r="L173" t="s">
        <v>72</v>
      </c>
      <c r="M173" t="s">
        <v>61</v>
      </c>
      <c r="N173">
        <v>72</v>
      </c>
      <c r="O173" t="s">
        <v>62</v>
      </c>
    </row>
    <row r="174" spans="1:15" x14ac:dyDescent="0.35">
      <c r="A174">
        <v>173</v>
      </c>
      <c r="B174" t="s">
        <v>129</v>
      </c>
      <c r="D174" t="s">
        <v>63</v>
      </c>
      <c r="E174" t="s">
        <v>57</v>
      </c>
      <c r="F174">
        <v>3</v>
      </c>
      <c r="G174" t="s">
        <v>64</v>
      </c>
      <c r="H174">
        <v>50</v>
      </c>
      <c r="I174" t="s">
        <v>72</v>
      </c>
      <c r="J174">
        <v>40</v>
      </c>
      <c r="K174">
        <v>1200</v>
      </c>
      <c r="L174" t="s">
        <v>72</v>
      </c>
      <c r="M174" t="s">
        <v>61</v>
      </c>
      <c r="N174">
        <v>73</v>
      </c>
      <c r="O174" t="s">
        <v>62</v>
      </c>
    </row>
    <row r="175" spans="1:15" x14ac:dyDescent="0.35">
      <c r="A175">
        <v>174</v>
      </c>
      <c r="B175" t="s">
        <v>129</v>
      </c>
      <c r="D175" t="s">
        <v>63</v>
      </c>
      <c r="E175" t="s">
        <v>57</v>
      </c>
      <c r="F175">
        <v>2</v>
      </c>
      <c r="G175" t="s">
        <v>58</v>
      </c>
      <c r="H175">
        <v>50</v>
      </c>
      <c r="I175" t="s">
        <v>72</v>
      </c>
      <c r="J175">
        <v>40</v>
      </c>
      <c r="K175">
        <v>800</v>
      </c>
      <c r="L175" t="s">
        <v>72</v>
      </c>
      <c r="M175" t="s">
        <v>61</v>
      </c>
      <c r="N175">
        <v>73</v>
      </c>
      <c r="O175" t="s">
        <v>62</v>
      </c>
    </row>
    <row r="176" spans="1:15" x14ac:dyDescent="0.35">
      <c r="A176">
        <v>175</v>
      </c>
      <c r="B176" t="s">
        <v>129</v>
      </c>
      <c r="D176" t="s">
        <v>63</v>
      </c>
      <c r="E176" t="s">
        <v>57</v>
      </c>
      <c r="F176">
        <v>3</v>
      </c>
      <c r="G176" t="s">
        <v>64</v>
      </c>
      <c r="H176">
        <v>70</v>
      </c>
      <c r="I176" t="s">
        <v>72</v>
      </c>
      <c r="J176">
        <v>25</v>
      </c>
      <c r="K176">
        <v>890</v>
      </c>
      <c r="L176" t="s">
        <v>72</v>
      </c>
      <c r="M176" t="s">
        <v>61</v>
      </c>
      <c r="N176">
        <v>74</v>
      </c>
      <c r="O176" t="s">
        <v>62</v>
      </c>
    </row>
    <row r="177" spans="1:15" x14ac:dyDescent="0.35">
      <c r="A177">
        <v>176</v>
      </c>
      <c r="B177" t="s">
        <v>129</v>
      </c>
      <c r="D177" t="s">
        <v>63</v>
      </c>
      <c r="E177" t="s">
        <v>57</v>
      </c>
      <c r="F177">
        <v>10</v>
      </c>
      <c r="G177" t="s">
        <v>64</v>
      </c>
      <c r="H177">
        <v>60</v>
      </c>
      <c r="I177" t="s">
        <v>72</v>
      </c>
      <c r="J177">
        <v>30</v>
      </c>
      <c r="K177">
        <v>3000</v>
      </c>
      <c r="L177" t="s">
        <v>72</v>
      </c>
      <c r="M177" t="s">
        <v>61</v>
      </c>
      <c r="N177">
        <v>74</v>
      </c>
      <c r="O177" t="s">
        <v>62</v>
      </c>
    </row>
    <row r="178" spans="1:15" x14ac:dyDescent="0.35">
      <c r="A178">
        <v>177</v>
      </c>
      <c r="B178" t="s">
        <v>129</v>
      </c>
      <c r="D178" t="s">
        <v>63</v>
      </c>
      <c r="E178" t="s">
        <v>57</v>
      </c>
      <c r="F178">
        <v>6</v>
      </c>
      <c r="G178" t="s">
        <v>64</v>
      </c>
      <c r="H178">
        <v>55</v>
      </c>
      <c r="I178" t="s">
        <v>72</v>
      </c>
      <c r="J178">
        <v>30</v>
      </c>
      <c r="K178">
        <v>1910</v>
      </c>
      <c r="L178" t="s">
        <v>72</v>
      </c>
      <c r="M178" t="s">
        <v>61</v>
      </c>
      <c r="N178">
        <v>74</v>
      </c>
      <c r="O178" t="s">
        <v>62</v>
      </c>
    </row>
    <row r="179" spans="1:15" x14ac:dyDescent="0.35">
      <c r="A179">
        <v>178</v>
      </c>
      <c r="B179" t="s">
        <v>129</v>
      </c>
      <c r="D179" t="s">
        <v>63</v>
      </c>
      <c r="E179" t="s">
        <v>57</v>
      </c>
      <c r="F179">
        <v>1</v>
      </c>
      <c r="G179" t="s">
        <v>64</v>
      </c>
      <c r="H179">
        <v>50</v>
      </c>
      <c r="I179" t="s">
        <v>72</v>
      </c>
      <c r="J179">
        <v>32</v>
      </c>
      <c r="K179">
        <v>320</v>
      </c>
      <c r="L179" t="s">
        <v>72</v>
      </c>
      <c r="M179" t="s">
        <v>61</v>
      </c>
      <c r="N179">
        <v>74</v>
      </c>
      <c r="O179" t="s">
        <v>62</v>
      </c>
    </row>
  </sheetData>
  <dataValidations count="1">
    <dataValidation type="list" allowBlank="1" sqref="O2:O5000" xr:uid="{00000000-0002-0000-0100-000000000000}">
      <formula1>"ABIERTO,CONFIRMADO,ENTREGADO,CANCELADO"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8"/>
  <sheetViews>
    <sheetView workbookViewId="0">
      <pane ySplit="1" topLeftCell="A34" activePane="bottomLeft" state="frozen"/>
      <selection pane="bottomLeft"/>
    </sheetView>
  </sheetViews>
  <sheetFormatPr baseColWidth="10" defaultColWidth="8.7265625" defaultRowHeight="14.5" x14ac:dyDescent="0.35"/>
  <cols>
    <col min="1" max="3" width="14" customWidth="1"/>
    <col min="4" max="4" width="17" customWidth="1"/>
    <col min="5" max="5" width="21" customWidth="1"/>
    <col min="6" max="6" width="17" customWidth="1"/>
    <col min="7" max="7" width="14" customWidth="1"/>
    <col min="8" max="8" width="16" customWidth="1"/>
    <col min="9" max="9" width="14" customWidth="1"/>
    <col min="10" max="10" width="16" customWidth="1"/>
    <col min="11" max="11" width="17" customWidth="1"/>
  </cols>
  <sheetData>
    <row r="1" spans="1:11" x14ac:dyDescent="0.35">
      <c r="A1" s="1" t="s">
        <v>53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16</v>
      </c>
    </row>
    <row r="2" spans="1:11" x14ac:dyDescent="0.35">
      <c r="A2">
        <v>2</v>
      </c>
      <c r="B2" t="s">
        <v>139</v>
      </c>
      <c r="C2">
        <v>1091796152001</v>
      </c>
      <c r="D2" t="s">
        <v>140</v>
      </c>
      <c r="F2">
        <v>1328.4</v>
      </c>
      <c r="G2" t="s">
        <v>141</v>
      </c>
      <c r="H2">
        <v>0</v>
      </c>
      <c r="I2">
        <v>0</v>
      </c>
    </row>
    <row r="3" spans="1:11" x14ac:dyDescent="0.35">
      <c r="A3" t="s">
        <v>69</v>
      </c>
      <c r="F3">
        <v>1328.4</v>
      </c>
      <c r="G3" t="s">
        <v>142</v>
      </c>
      <c r="H3">
        <v>0</v>
      </c>
      <c r="I3">
        <v>1328.4</v>
      </c>
    </row>
    <row r="4" spans="1:11" x14ac:dyDescent="0.35">
      <c r="A4">
        <v>4</v>
      </c>
      <c r="B4" t="s">
        <v>139</v>
      </c>
      <c r="C4">
        <v>1091796152001</v>
      </c>
      <c r="D4" t="s">
        <v>143</v>
      </c>
      <c r="F4">
        <v>95</v>
      </c>
      <c r="G4" t="s">
        <v>141</v>
      </c>
      <c r="H4">
        <v>0</v>
      </c>
      <c r="I4">
        <v>0</v>
      </c>
    </row>
    <row r="5" spans="1:11" x14ac:dyDescent="0.35">
      <c r="A5">
        <v>5</v>
      </c>
      <c r="B5" t="s">
        <v>139</v>
      </c>
      <c r="C5">
        <v>1091796152001</v>
      </c>
      <c r="D5" t="s">
        <v>143</v>
      </c>
      <c r="F5">
        <v>562.4</v>
      </c>
      <c r="G5" t="s">
        <v>141</v>
      </c>
      <c r="H5">
        <v>0</v>
      </c>
      <c r="I5">
        <v>0</v>
      </c>
    </row>
    <row r="6" spans="1:11" x14ac:dyDescent="0.35">
      <c r="A6">
        <v>6</v>
      </c>
      <c r="B6" t="s">
        <v>139</v>
      </c>
      <c r="C6">
        <v>1091796152001</v>
      </c>
      <c r="D6" t="s">
        <v>143</v>
      </c>
      <c r="F6">
        <v>240</v>
      </c>
      <c r="G6" t="s">
        <v>141</v>
      </c>
      <c r="H6">
        <v>0</v>
      </c>
      <c r="I6">
        <v>0</v>
      </c>
    </row>
    <row r="7" spans="1:11" x14ac:dyDescent="0.35">
      <c r="A7">
        <v>7</v>
      </c>
      <c r="B7" t="s">
        <v>139</v>
      </c>
      <c r="C7">
        <v>1091796152001</v>
      </c>
      <c r="D7" t="s">
        <v>143</v>
      </c>
      <c r="F7">
        <v>522.5</v>
      </c>
      <c r="G7" t="s">
        <v>141</v>
      </c>
      <c r="H7">
        <v>0</v>
      </c>
      <c r="I7">
        <v>0</v>
      </c>
    </row>
    <row r="8" spans="1:11" x14ac:dyDescent="0.35">
      <c r="A8">
        <v>8</v>
      </c>
      <c r="B8" t="s">
        <v>139</v>
      </c>
      <c r="C8">
        <v>1091796152001</v>
      </c>
      <c r="D8" t="s">
        <v>143</v>
      </c>
      <c r="F8">
        <v>562.5</v>
      </c>
      <c r="G8" t="s">
        <v>141</v>
      </c>
      <c r="H8">
        <v>0</v>
      </c>
      <c r="I8">
        <v>0</v>
      </c>
    </row>
    <row r="9" spans="1:11" x14ac:dyDescent="0.35">
      <c r="A9">
        <v>13</v>
      </c>
      <c r="B9" t="s">
        <v>139</v>
      </c>
      <c r="C9">
        <v>1091796152001</v>
      </c>
      <c r="D9" t="s">
        <v>144</v>
      </c>
      <c r="F9">
        <v>211.5</v>
      </c>
      <c r="G9" t="s">
        <v>141</v>
      </c>
      <c r="H9">
        <v>0</v>
      </c>
      <c r="I9">
        <v>0</v>
      </c>
    </row>
    <row r="10" spans="1:11" x14ac:dyDescent="0.35">
      <c r="A10">
        <v>14</v>
      </c>
      <c r="B10" t="s">
        <v>139</v>
      </c>
      <c r="C10">
        <v>1091796152001</v>
      </c>
      <c r="D10" t="s">
        <v>144</v>
      </c>
      <c r="F10">
        <v>234</v>
      </c>
      <c r="G10" t="s">
        <v>141</v>
      </c>
      <c r="H10">
        <v>0</v>
      </c>
      <c r="I10">
        <v>0</v>
      </c>
    </row>
    <row r="11" spans="1:11" x14ac:dyDescent="0.35">
      <c r="A11">
        <v>15</v>
      </c>
      <c r="B11" t="s">
        <v>139</v>
      </c>
      <c r="C11">
        <v>1091796152001</v>
      </c>
      <c r="D11" t="s">
        <v>144</v>
      </c>
      <c r="F11">
        <v>1442.2</v>
      </c>
      <c r="G11" t="s">
        <v>141</v>
      </c>
      <c r="H11">
        <v>0</v>
      </c>
      <c r="I11">
        <v>0</v>
      </c>
    </row>
    <row r="12" spans="1:11" x14ac:dyDescent="0.35">
      <c r="A12">
        <v>17</v>
      </c>
      <c r="B12" t="s">
        <v>139</v>
      </c>
      <c r="C12">
        <v>1091796152001</v>
      </c>
      <c r="D12" t="s">
        <v>145</v>
      </c>
      <c r="F12">
        <v>246</v>
      </c>
      <c r="G12" t="s">
        <v>141</v>
      </c>
      <c r="H12">
        <v>0</v>
      </c>
      <c r="I12">
        <v>0</v>
      </c>
    </row>
    <row r="13" spans="1:11" x14ac:dyDescent="0.35">
      <c r="A13">
        <v>18</v>
      </c>
      <c r="B13" t="s">
        <v>139</v>
      </c>
      <c r="C13">
        <v>1091796152001</v>
      </c>
      <c r="D13" t="s">
        <v>144</v>
      </c>
      <c r="F13">
        <v>73.8</v>
      </c>
      <c r="G13" t="s">
        <v>141</v>
      </c>
      <c r="H13">
        <v>0</v>
      </c>
      <c r="I13">
        <v>0</v>
      </c>
    </row>
    <row r="14" spans="1:11" x14ac:dyDescent="0.35">
      <c r="A14">
        <v>19</v>
      </c>
      <c r="B14" t="s">
        <v>139</v>
      </c>
      <c r="C14">
        <v>1091796152001</v>
      </c>
      <c r="D14" t="s">
        <v>146</v>
      </c>
      <c r="F14">
        <v>784.8</v>
      </c>
      <c r="G14" t="s">
        <v>141</v>
      </c>
      <c r="H14">
        <v>1002.75</v>
      </c>
      <c r="I14">
        <v>0</v>
      </c>
    </row>
    <row r="15" spans="1:11" x14ac:dyDescent="0.35">
      <c r="A15" t="s">
        <v>93</v>
      </c>
      <c r="F15">
        <v>4974.7</v>
      </c>
      <c r="G15" t="s">
        <v>141</v>
      </c>
      <c r="H15">
        <v>0</v>
      </c>
      <c r="I15">
        <v>0</v>
      </c>
      <c r="K15" t="s">
        <v>147</v>
      </c>
    </row>
    <row r="16" spans="1:11" x14ac:dyDescent="0.35">
      <c r="A16">
        <v>20</v>
      </c>
      <c r="B16" t="s">
        <v>139</v>
      </c>
      <c r="C16">
        <v>1091796152001</v>
      </c>
      <c r="D16" t="s">
        <v>148</v>
      </c>
      <c r="F16">
        <v>544</v>
      </c>
      <c r="G16" t="s">
        <v>141</v>
      </c>
      <c r="H16">
        <v>0</v>
      </c>
      <c r="I16">
        <v>0</v>
      </c>
    </row>
    <row r="17" spans="1:11" x14ac:dyDescent="0.35">
      <c r="A17">
        <v>23</v>
      </c>
      <c r="B17" t="s">
        <v>149</v>
      </c>
      <c r="C17">
        <v>1091796152001</v>
      </c>
      <c r="D17" t="s">
        <v>95</v>
      </c>
      <c r="F17">
        <v>228</v>
      </c>
      <c r="G17" t="s">
        <v>141</v>
      </c>
      <c r="H17">
        <v>0</v>
      </c>
      <c r="I17">
        <v>0</v>
      </c>
    </row>
    <row r="18" spans="1:11" x14ac:dyDescent="0.35">
      <c r="A18">
        <v>24</v>
      </c>
      <c r="B18" t="s">
        <v>149</v>
      </c>
      <c r="C18">
        <v>1091796152001</v>
      </c>
      <c r="D18" t="s">
        <v>96</v>
      </c>
      <c r="F18">
        <v>380</v>
      </c>
      <c r="G18" t="s">
        <v>141</v>
      </c>
      <c r="H18">
        <v>0</v>
      </c>
      <c r="I18">
        <v>0</v>
      </c>
    </row>
    <row r="19" spans="1:11" x14ac:dyDescent="0.35">
      <c r="A19">
        <v>25</v>
      </c>
      <c r="B19" t="s">
        <v>77</v>
      </c>
      <c r="C19">
        <v>1891782566001</v>
      </c>
      <c r="D19" t="s">
        <v>96</v>
      </c>
      <c r="F19">
        <v>810</v>
      </c>
      <c r="G19" t="s">
        <v>141</v>
      </c>
      <c r="H19">
        <v>0</v>
      </c>
      <c r="I19">
        <v>0</v>
      </c>
      <c r="K19" t="s">
        <v>150</v>
      </c>
    </row>
    <row r="20" spans="1:11" x14ac:dyDescent="0.35">
      <c r="A20">
        <v>26</v>
      </c>
      <c r="B20" t="s">
        <v>149</v>
      </c>
      <c r="C20">
        <v>1091796152001</v>
      </c>
      <c r="D20" t="s">
        <v>98</v>
      </c>
      <c r="F20">
        <v>787.5</v>
      </c>
      <c r="G20" t="s">
        <v>141</v>
      </c>
      <c r="H20">
        <v>0</v>
      </c>
      <c r="I20">
        <v>0</v>
      </c>
    </row>
    <row r="21" spans="1:11" x14ac:dyDescent="0.35">
      <c r="A21">
        <v>27</v>
      </c>
      <c r="B21" t="s">
        <v>149</v>
      </c>
      <c r="C21">
        <v>1091796152001</v>
      </c>
      <c r="D21" t="s">
        <v>151</v>
      </c>
      <c r="F21">
        <v>379.4</v>
      </c>
      <c r="G21" t="s">
        <v>141</v>
      </c>
      <c r="H21">
        <v>0</v>
      </c>
      <c r="I21">
        <v>0</v>
      </c>
    </row>
    <row r="22" spans="1:11" x14ac:dyDescent="0.35">
      <c r="A22">
        <v>28</v>
      </c>
      <c r="B22" t="s">
        <v>149</v>
      </c>
      <c r="C22">
        <v>1091796152001</v>
      </c>
      <c r="D22" t="s">
        <v>152</v>
      </c>
      <c r="F22">
        <v>1118.0999999999999</v>
      </c>
      <c r="G22" t="s">
        <v>141</v>
      </c>
      <c r="H22">
        <v>0</v>
      </c>
      <c r="I22">
        <v>0</v>
      </c>
    </row>
    <row r="23" spans="1:11" x14ac:dyDescent="0.35">
      <c r="A23">
        <v>29</v>
      </c>
      <c r="B23" t="s">
        <v>149</v>
      </c>
      <c r="C23">
        <v>1091796152001</v>
      </c>
      <c r="D23" t="s">
        <v>101</v>
      </c>
      <c r="F23">
        <v>705.2</v>
      </c>
      <c r="G23" t="s">
        <v>141</v>
      </c>
      <c r="H23">
        <v>0</v>
      </c>
      <c r="I23">
        <v>0</v>
      </c>
    </row>
    <row r="24" spans="1:11" x14ac:dyDescent="0.35">
      <c r="A24">
        <v>30</v>
      </c>
      <c r="B24" t="s">
        <v>149</v>
      </c>
      <c r="C24">
        <v>1091796152001</v>
      </c>
      <c r="D24" t="s">
        <v>101</v>
      </c>
      <c r="F24">
        <v>99.2</v>
      </c>
      <c r="G24" t="s">
        <v>141</v>
      </c>
      <c r="H24">
        <v>281.60000000000002</v>
      </c>
      <c r="I24">
        <v>417.4</v>
      </c>
      <c r="K24" t="s">
        <v>153</v>
      </c>
    </row>
    <row r="25" spans="1:11" x14ac:dyDescent="0.35">
      <c r="A25">
        <v>31</v>
      </c>
      <c r="B25" t="s">
        <v>149</v>
      </c>
      <c r="C25">
        <v>1091796152001</v>
      </c>
      <c r="D25" t="s">
        <v>154</v>
      </c>
      <c r="F25">
        <v>457.6</v>
      </c>
      <c r="G25" t="s">
        <v>141</v>
      </c>
      <c r="H25">
        <v>0</v>
      </c>
      <c r="I25">
        <v>0</v>
      </c>
    </row>
    <row r="26" spans="1:11" x14ac:dyDescent="0.35">
      <c r="A26" t="s">
        <v>103</v>
      </c>
      <c r="F26">
        <v>5509</v>
      </c>
      <c r="G26" t="s">
        <v>141</v>
      </c>
      <c r="H26">
        <v>0</v>
      </c>
      <c r="I26">
        <v>0</v>
      </c>
    </row>
    <row r="27" spans="1:11" x14ac:dyDescent="0.35">
      <c r="A27">
        <v>33</v>
      </c>
      <c r="B27" t="s">
        <v>149</v>
      </c>
      <c r="C27">
        <v>1091796152001</v>
      </c>
      <c r="D27" t="s">
        <v>106</v>
      </c>
      <c r="F27">
        <v>226</v>
      </c>
      <c r="G27" t="s">
        <v>141</v>
      </c>
      <c r="H27">
        <v>0</v>
      </c>
      <c r="I27">
        <v>0</v>
      </c>
    </row>
    <row r="28" spans="1:11" x14ac:dyDescent="0.35">
      <c r="A28">
        <v>34</v>
      </c>
      <c r="B28" t="s">
        <v>149</v>
      </c>
      <c r="C28">
        <v>1091796152001</v>
      </c>
      <c r="D28" t="s">
        <v>106</v>
      </c>
      <c r="F28">
        <v>734.2</v>
      </c>
      <c r="G28" t="s">
        <v>141</v>
      </c>
      <c r="H28">
        <v>0</v>
      </c>
      <c r="I28">
        <v>0</v>
      </c>
    </row>
    <row r="29" spans="1:11" x14ac:dyDescent="0.35">
      <c r="A29">
        <v>35</v>
      </c>
      <c r="B29" t="s">
        <v>149</v>
      </c>
      <c r="C29">
        <v>1091796152001</v>
      </c>
      <c r="D29" t="s">
        <v>155</v>
      </c>
      <c r="F29">
        <v>194.56</v>
      </c>
      <c r="G29" t="s">
        <v>141</v>
      </c>
      <c r="H29">
        <v>77.44</v>
      </c>
      <c r="I29">
        <v>0</v>
      </c>
    </row>
    <row r="30" spans="1:11" x14ac:dyDescent="0.35">
      <c r="A30">
        <v>36</v>
      </c>
      <c r="B30" t="s">
        <v>77</v>
      </c>
      <c r="C30">
        <v>1891782566001</v>
      </c>
      <c r="D30" t="s">
        <v>155</v>
      </c>
      <c r="F30">
        <v>180</v>
      </c>
      <c r="G30" t="s">
        <v>141</v>
      </c>
      <c r="H30">
        <v>0</v>
      </c>
      <c r="I30">
        <v>0</v>
      </c>
    </row>
    <row r="31" spans="1:11" x14ac:dyDescent="0.35">
      <c r="A31">
        <v>37</v>
      </c>
      <c r="B31" t="s">
        <v>77</v>
      </c>
      <c r="C31">
        <v>1891782566001</v>
      </c>
      <c r="D31" t="s">
        <v>155</v>
      </c>
      <c r="F31">
        <v>180</v>
      </c>
      <c r="G31" t="s">
        <v>141</v>
      </c>
      <c r="H31">
        <v>0</v>
      </c>
      <c r="I31">
        <v>0</v>
      </c>
    </row>
    <row r="32" spans="1:11" x14ac:dyDescent="0.35">
      <c r="A32">
        <v>38</v>
      </c>
      <c r="B32" t="s">
        <v>149</v>
      </c>
      <c r="C32">
        <v>1091796152001</v>
      </c>
      <c r="D32" t="s">
        <v>156</v>
      </c>
      <c r="F32">
        <v>162</v>
      </c>
      <c r="G32" t="s">
        <v>141</v>
      </c>
      <c r="H32">
        <v>0</v>
      </c>
      <c r="I32">
        <v>0</v>
      </c>
    </row>
    <row r="33" spans="1:9" x14ac:dyDescent="0.35">
      <c r="A33">
        <v>39</v>
      </c>
      <c r="B33" t="s">
        <v>149</v>
      </c>
      <c r="C33">
        <v>1091796152001</v>
      </c>
      <c r="D33" t="s">
        <v>111</v>
      </c>
      <c r="F33">
        <v>570</v>
      </c>
      <c r="G33" t="s">
        <v>141</v>
      </c>
      <c r="H33">
        <v>0</v>
      </c>
      <c r="I33">
        <v>0</v>
      </c>
    </row>
    <row r="34" spans="1:9" x14ac:dyDescent="0.35">
      <c r="A34">
        <v>40</v>
      </c>
      <c r="B34" t="s">
        <v>149</v>
      </c>
      <c r="C34">
        <v>1091796152001</v>
      </c>
      <c r="D34" t="s">
        <v>111</v>
      </c>
      <c r="F34">
        <v>854.6</v>
      </c>
      <c r="G34" t="s">
        <v>141</v>
      </c>
      <c r="H34">
        <v>0</v>
      </c>
      <c r="I34">
        <v>0</v>
      </c>
    </row>
    <row r="35" spans="1:9" x14ac:dyDescent="0.35">
      <c r="A35">
        <v>43</v>
      </c>
      <c r="B35" t="s">
        <v>149</v>
      </c>
      <c r="C35">
        <v>1091796152001</v>
      </c>
      <c r="D35" t="s">
        <v>157</v>
      </c>
      <c r="F35">
        <v>1005.4</v>
      </c>
      <c r="G35" t="s">
        <v>141</v>
      </c>
      <c r="H35">
        <v>0</v>
      </c>
      <c r="I35">
        <v>0</v>
      </c>
    </row>
    <row r="36" spans="1:9" x14ac:dyDescent="0.35">
      <c r="A36" t="s">
        <v>112</v>
      </c>
      <c r="F36">
        <v>4106.76</v>
      </c>
      <c r="G36" t="s">
        <v>141</v>
      </c>
      <c r="H36">
        <v>0</v>
      </c>
      <c r="I36">
        <v>0</v>
      </c>
    </row>
    <row r="37" spans="1:9" x14ac:dyDescent="0.35">
      <c r="A37">
        <v>44</v>
      </c>
      <c r="B37" t="s">
        <v>149</v>
      </c>
      <c r="C37">
        <v>1091796152001</v>
      </c>
      <c r="D37" t="s">
        <v>157</v>
      </c>
      <c r="F37">
        <v>147.16</v>
      </c>
      <c r="G37" t="s">
        <v>141</v>
      </c>
      <c r="H37">
        <v>70.44</v>
      </c>
      <c r="I37">
        <v>0</v>
      </c>
    </row>
    <row r="38" spans="1:9" x14ac:dyDescent="0.35">
      <c r="A38">
        <v>45</v>
      </c>
      <c r="B38" t="s">
        <v>149</v>
      </c>
      <c r="C38">
        <v>1091796152001</v>
      </c>
      <c r="D38" t="s">
        <v>157</v>
      </c>
      <c r="F38">
        <v>105</v>
      </c>
      <c r="G38" t="s">
        <v>141</v>
      </c>
      <c r="H38">
        <v>0</v>
      </c>
      <c r="I38">
        <v>0</v>
      </c>
    </row>
    <row r="39" spans="1:9" x14ac:dyDescent="0.35">
      <c r="A39">
        <v>46</v>
      </c>
      <c r="B39" t="s">
        <v>149</v>
      </c>
      <c r="C39">
        <v>1091796152001</v>
      </c>
      <c r="D39" t="s">
        <v>158</v>
      </c>
      <c r="F39">
        <v>26.6</v>
      </c>
      <c r="G39" t="s">
        <v>141</v>
      </c>
      <c r="H39">
        <v>0</v>
      </c>
      <c r="I39">
        <v>0</v>
      </c>
    </row>
    <row r="40" spans="1:9" x14ac:dyDescent="0.35">
      <c r="A40">
        <v>47</v>
      </c>
      <c r="B40" t="s">
        <v>149</v>
      </c>
      <c r="C40">
        <v>1091796152001</v>
      </c>
      <c r="D40" t="s">
        <v>158</v>
      </c>
      <c r="F40">
        <v>191</v>
      </c>
      <c r="G40" t="s">
        <v>141</v>
      </c>
      <c r="H40">
        <v>0</v>
      </c>
      <c r="I40">
        <v>0</v>
      </c>
    </row>
    <row r="41" spans="1:9" x14ac:dyDescent="0.35">
      <c r="A41" t="s">
        <v>116</v>
      </c>
      <c r="F41">
        <v>469.76</v>
      </c>
      <c r="G41" t="s">
        <v>141</v>
      </c>
      <c r="H41">
        <v>0</v>
      </c>
      <c r="I41">
        <v>0</v>
      </c>
    </row>
    <row r="42" spans="1:9" x14ac:dyDescent="0.35">
      <c r="A42">
        <v>48</v>
      </c>
      <c r="B42" t="s">
        <v>149</v>
      </c>
      <c r="C42">
        <v>1091796152001</v>
      </c>
      <c r="D42" t="s">
        <v>21</v>
      </c>
      <c r="F42">
        <v>373.4</v>
      </c>
      <c r="G42" t="s">
        <v>159</v>
      </c>
      <c r="H42">
        <v>0</v>
      </c>
      <c r="I42">
        <v>373.4</v>
      </c>
    </row>
    <row r="43" spans="1:9" x14ac:dyDescent="0.35">
      <c r="A43">
        <v>49</v>
      </c>
      <c r="B43" t="s">
        <v>149</v>
      </c>
      <c r="C43">
        <v>1091796152001</v>
      </c>
      <c r="D43" t="s">
        <v>24</v>
      </c>
      <c r="F43">
        <v>366.8</v>
      </c>
      <c r="G43" t="s">
        <v>159</v>
      </c>
      <c r="H43">
        <v>0</v>
      </c>
      <c r="I43">
        <v>366.8</v>
      </c>
    </row>
    <row r="44" spans="1:9" x14ac:dyDescent="0.35">
      <c r="A44">
        <v>50</v>
      </c>
      <c r="B44" t="s">
        <v>149</v>
      </c>
      <c r="C44">
        <v>1091796152001</v>
      </c>
      <c r="D44" t="s">
        <v>24</v>
      </c>
      <c r="F44">
        <v>183.8</v>
      </c>
      <c r="G44" t="s">
        <v>159</v>
      </c>
      <c r="H44">
        <v>0</v>
      </c>
      <c r="I44">
        <v>183.8</v>
      </c>
    </row>
    <row r="45" spans="1:9" x14ac:dyDescent="0.35">
      <c r="A45">
        <v>51</v>
      </c>
      <c r="B45" t="s">
        <v>149</v>
      </c>
      <c r="C45">
        <v>1091796152001</v>
      </c>
      <c r="D45" t="s">
        <v>118</v>
      </c>
      <c r="F45">
        <v>528.6</v>
      </c>
      <c r="G45" t="s">
        <v>159</v>
      </c>
      <c r="H45">
        <v>0</v>
      </c>
      <c r="I45">
        <v>528.6</v>
      </c>
    </row>
    <row r="46" spans="1:9" x14ac:dyDescent="0.35">
      <c r="A46">
        <v>52</v>
      </c>
      <c r="B46" t="s">
        <v>149</v>
      </c>
      <c r="C46">
        <v>1091796152001</v>
      </c>
      <c r="D46" t="s">
        <v>160</v>
      </c>
      <c r="F46">
        <v>59.8</v>
      </c>
      <c r="G46" t="s">
        <v>159</v>
      </c>
      <c r="H46">
        <v>0</v>
      </c>
      <c r="I46">
        <v>59.8</v>
      </c>
    </row>
    <row r="47" spans="1:9" x14ac:dyDescent="0.35">
      <c r="A47">
        <v>53</v>
      </c>
      <c r="B47" t="s">
        <v>149</v>
      </c>
      <c r="C47">
        <v>1091796152001</v>
      </c>
      <c r="D47" t="s">
        <v>26</v>
      </c>
      <c r="F47">
        <v>580</v>
      </c>
      <c r="G47" t="s">
        <v>159</v>
      </c>
      <c r="H47">
        <v>0</v>
      </c>
      <c r="I47">
        <v>580</v>
      </c>
    </row>
    <row r="48" spans="1:9" x14ac:dyDescent="0.35">
      <c r="A48">
        <v>54</v>
      </c>
      <c r="B48" t="s">
        <v>149</v>
      </c>
      <c r="C48">
        <v>1091796152001</v>
      </c>
      <c r="D48" t="s">
        <v>27</v>
      </c>
      <c r="F48">
        <v>978.9</v>
      </c>
      <c r="G48" t="s">
        <v>159</v>
      </c>
      <c r="H48">
        <v>0</v>
      </c>
      <c r="I48">
        <v>978.9</v>
      </c>
    </row>
    <row r="49" spans="1:9" x14ac:dyDescent="0.35">
      <c r="A49">
        <v>55</v>
      </c>
      <c r="B49" t="s">
        <v>149</v>
      </c>
      <c r="C49">
        <v>1091796152001</v>
      </c>
      <c r="D49" t="s">
        <v>27</v>
      </c>
      <c r="F49">
        <v>656.3</v>
      </c>
      <c r="G49" t="s">
        <v>159</v>
      </c>
      <c r="H49">
        <v>0</v>
      </c>
      <c r="I49">
        <v>656.3</v>
      </c>
    </row>
    <row r="50" spans="1:9" x14ac:dyDescent="0.35">
      <c r="A50">
        <v>56</v>
      </c>
      <c r="B50" t="s">
        <v>149</v>
      </c>
      <c r="C50">
        <v>1091796152001</v>
      </c>
      <c r="D50" t="s">
        <v>28</v>
      </c>
      <c r="F50">
        <v>2901.5</v>
      </c>
      <c r="G50" t="s">
        <v>159</v>
      </c>
      <c r="H50">
        <v>0</v>
      </c>
      <c r="I50">
        <v>2901.5</v>
      </c>
    </row>
    <row r="51" spans="1:9" x14ac:dyDescent="0.35">
      <c r="A51">
        <v>57</v>
      </c>
      <c r="B51" t="s">
        <v>149</v>
      </c>
      <c r="C51">
        <v>1091796152001</v>
      </c>
      <c r="D51" t="s">
        <v>28</v>
      </c>
      <c r="F51">
        <v>240</v>
      </c>
      <c r="G51" t="s">
        <v>159</v>
      </c>
      <c r="H51">
        <v>0</v>
      </c>
      <c r="I51">
        <v>240</v>
      </c>
    </row>
    <row r="52" spans="1:9" x14ac:dyDescent="0.35">
      <c r="A52">
        <v>58</v>
      </c>
      <c r="B52" t="s">
        <v>149</v>
      </c>
      <c r="C52">
        <v>1091796152001</v>
      </c>
      <c r="D52" t="s">
        <v>30</v>
      </c>
      <c r="F52">
        <v>1076.5</v>
      </c>
      <c r="G52" t="s">
        <v>159</v>
      </c>
      <c r="H52">
        <v>0</v>
      </c>
      <c r="I52">
        <v>1076.5</v>
      </c>
    </row>
    <row r="53" spans="1:9" x14ac:dyDescent="0.35">
      <c r="A53">
        <v>59</v>
      </c>
      <c r="B53" t="s">
        <v>149</v>
      </c>
      <c r="C53">
        <v>1091796152001</v>
      </c>
      <c r="D53" t="s">
        <v>30</v>
      </c>
      <c r="F53">
        <v>1601.2</v>
      </c>
      <c r="G53" t="s">
        <v>159</v>
      </c>
      <c r="H53">
        <v>0</v>
      </c>
      <c r="I53">
        <v>1601.2</v>
      </c>
    </row>
    <row r="54" spans="1:9" x14ac:dyDescent="0.35">
      <c r="A54">
        <v>60</v>
      </c>
      <c r="B54" t="s">
        <v>149</v>
      </c>
      <c r="C54">
        <v>1091796152001</v>
      </c>
      <c r="D54" t="s">
        <v>161</v>
      </c>
      <c r="F54">
        <v>949.1</v>
      </c>
      <c r="G54" t="s">
        <v>159</v>
      </c>
      <c r="H54">
        <v>0</v>
      </c>
      <c r="I54">
        <v>949.1</v>
      </c>
    </row>
    <row r="55" spans="1:9" x14ac:dyDescent="0.35">
      <c r="A55">
        <v>62</v>
      </c>
      <c r="B55" t="s">
        <v>149</v>
      </c>
      <c r="C55">
        <v>1091796152001</v>
      </c>
      <c r="D55" t="s">
        <v>32</v>
      </c>
      <c r="F55">
        <v>1086.25</v>
      </c>
      <c r="G55" t="s">
        <v>159</v>
      </c>
      <c r="H55">
        <v>0</v>
      </c>
      <c r="I55">
        <v>1086.25</v>
      </c>
    </row>
    <row r="56" spans="1:9" x14ac:dyDescent="0.35">
      <c r="A56">
        <v>63</v>
      </c>
      <c r="B56" t="s">
        <v>149</v>
      </c>
      <c r="C56">
        <v>1091796152001</v>
      </c>
      <c r="D56" t="s">
        <v>123</v>
      </c>
      <c r="F56">
        <v>216</v>
      </c>
      <c r="G56" t="s">
        <v>159</v>
      </c>
      <c r="H56">
        <v>0</v>
      </c>
      <c r="I56">
        <v>216</v>
      </c>
    </row>
    <row r="57" spans="1:9" x14ac:dyDescent="0.35">
      <c r="A57" t="s">
        <v>124</v>
      </c>
      <c r="F57">
        <v>11798.15</v>
      </c>
      <c r="G57" t="s">
        <v>142</v>
      </c>
      <c r="H57">
        <v>0</v>
      </c>
      <c r="I57">
        <v>11798.15</v>
      </c>
    </row>
    <row r="58" spans="1:9" x14ac:dyDescent="0.35">
      <c r="A58">
        <v>64</v>
      </c>
      <c r="B58" t="s">
        <v>149</v>
      </c>
      <c r="C58">
        <v>1091796152001</v>
      </c>
      <c r="D58" t="s">
        <v>162</v>
      </c>
      <c r="F58">
        <v>143.6</v>
      </c>
      <c r="G58" t="s">
        <v>159</v>
      </c>
      <c r="H58">
        <v>0</v>
      </c>
      <c r="I58">
        <v>143.6</v>
      </c>
    </row>
    <row r="59" spans="1:9" x14ac:dyDescent="0.35">
      <c r="A59">
        <v>65</v>
      </c>
      <c r="B59" t="s">
        <v>149</v>
      </c>
      <c r="C59">
        <v>1091796152001</v>
      </c>
      <c r="D59" t="s">
        <v>33</v>
      </c>
      <c r="F59">
        <v>300.8</v>
      </c>
      <c r="G59" t="s">
        <v>159</v>
      </c>
      <c r="H59">
        <v>0</v>
      </c>
      <c r="I59">
        <v>300.8</v>
      </c>
    </row>
    <row r="60" spans="1:9" x14ac:dyDescent="0.35">
      <c r="A60">
        <v>66</v>
      </c>
      <c r="B60" t="s">
        <v>149</v>
      </c>
      <c r="C60">
        <v>1091796152001</v>
      </c>
      <c r="D60" t="s">
        <v>125</v>
      </c>
      <c r="F60">
        <v>243.1</v>
      </c>
      <c r="G60" t="s">
        <v>159</v>
      </c>
      <c r="H60">
        <v>0</v>
      </c>
      <c r="I60">
        <v>243.1</v>
      </c>
    </row>
    <row r="61" spans="1:9" x14ac:dyDescent="0.35">
      <c r="A61">
        <v>67</v>
      </c>
      <c r="B61" t="s">
        <v>149</v>
      </c>
      <c r="C61">
        <v>1091796152001</v>
      </c>
      <c r="D61" t="s">
        <v>126</v>
      </c>
      <c r="F61">
        <v>150.4</v>
      </c>
      <c r="G61" t="s">
        <v>159</v>
      </c>
      <c r="H61">
        <v>0</v>
      </c>
      <c r="I61">
        <v>150.4</v>
      </c>
    </row>
    <row r="62" spans="1:9" x14ac:dyDescent="0.35">
      <c r="A62" t="s">
        <v>127</v>
      </c>
      <c r="F62">
        <v>837.9</v>
      </c>
      <c r="G62" t="s">
        <v>142</v>
      </c>
      <c r="H62">
        <v>0</v>
      </c>
      <c r="I62">
        <v>837.9</v>
      </c>
    </row>
    <row r="63" spans="1:9" x14ac:dyDescent="0.35">
      <c r="A63">
        <v>68</v>
      </c>
      <c r="B63" t="s">
        <v>149</v>
      </c>
      <c r="C63">
        <v>1091796152001</v>
      </c>
      <c r="D63" t="s">
        <v>128</v>
      </c>
      <c r="F63">
        <v>878.9</v>
      </c>
      <c r="G63" t="s">
        <v>159</v>
      </c>
      <c r="H63">
        <v>0</v>
      </c>
      <c r="I63">
        <v>878.9</v>
      </c>
    </row>
    <row r="64" spans="1:9" x14ac:dyDescent="0.35">
      <c r="A64">
        <v>69</v>
      </c>
      <c r="B64" t="s">
        <v>149</v>
      </c>
      <c r="C64">
        <v>1091796152001</v>
      </c>
      <c r="D64" t="s">
        <v>37</v>
      </c>
      <c r="F64">
        <v>568.5</v>
      </c>
      <c r="G64" t="s">
        <v>159</v>
      </c>
      <c r="H64">
        <v>0</v>
      </c>
      <c r="I64">
        <v>568.5</v>
      </c>
    </row>
    <row r="65" spans="1:9" x14ac:dyDescent="0.35">
      <c r="A65">
        <v>70</v>
      </c>
      <c r="B65" t="s">
        <v>149</v>
      </c>
      <c r="C65">
        <v>1091796152001</v>
      </c>
      <c r="D65" t="s">
        <v>39</v>
      </c>
      <c r="F65">
        <v>610.9</v>
      </c>
      <c r="G65" t="s">
        <v>159</v>
      </c>
      <c r="H65">
        <v>0</v>
      </c>
      <c r="I65">
        <v>610.9</v>
      </c>
    </row>
    <row r="66" spans="1:9" x14ac:dyDescent="0.35">
      <c r="A66">
        <v>72</v>
      </c>
      <c r="B66" t="s">
        <v>149</v>
      </c>
      <c r="C66">
        <v>1091796152001</v>
      </c>
      <c r="D66" t="s">
        <v>39</v>
      </c>
      <c r="F66">
        <v>1412.4</v>
      </c>
      <c r="G66" t="s">
        <v>159</v>
      </c>
      <c r="H66">
        <v>0</v>
      </c>
      <c r="I66">
        <v>1412.4</v>
      </c>
    </row>
    <row r="67" spans="1:9" x14ac:dyDescent="0.35">
      <c r="A67">
        <v>73</v>
      </c>
      <c r="B67" t="s">
        <v>149</v>
      </c>
      <c r="C67">
        <v>1091796152001</v>
      </c>
      <c r="D67" t="s">
        <v>129</v>
      </c>
      <c r="F67">
        <v>240</v>
      </c>
      <c r="G67" t="s">
        <v>159</v>
      </c>
      <c r="H67">
        <v>0</v>
      </c>
      <c r="I67">
        <v>240</v>
      </c>
    </row>
    <row r="68" spans="1:9" x14ac:dyDescent="0.35">
      <c r="A68">
        <v>74</v>
      </c>
      <c r="B68" t="s">
        <v>149</v>
      </c>
      <c r="C68">
        <v>1091796152001</v>
      </c>
      <c r="D68" t="s">
        <v>129</v>
      </c>
      <c r="F68">
        <v>1004</v>
      </c>
      <c r="G68" t="s">
        <v>159</v>
      </c>
      <c r="H68">
        <v>0</v>
      </c>
      <c r="I68">
        <v>1004</v>
      </c>
    </row>
  </sheetData>
  <dataValidations count="1">
    <dataValidation type="list" allowBlank="1" sqref="G2:G5000" xr:uid="{00000000-0002-0000-0200-000000000000}">
      <formula1>"PENDIENTE,PAGADO,VENCIDO,ANULADA"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6" width="14" customWidth="1"/>
    <col min="7" max="7" width="17" customWidth="1"/>
    <col min="8" max="8" width="21" customWidth="1"/>
    <col min="9" max="9" width="20" customWidth="1"/>
    <col min="10" max="10" width="17" customWidth="1"/>
  </cols>
  <sheetData>
    <row r="1" spans="1:10" x14ac:dyDescent="0.35">
      <c r="A1" s="1" t="s">
        <v>2</v>
      </c>
      <c r="B1" s="1" t="s">
        <v>163</v>
      </c>
      <c r="C1" s="1" t="s">
        <v>164</v>
      </c>
      <c r="D1" s="1" t="s">
        <v>3</v>
      </c>
      <c r="E1" s="1" t="s">
        <v>5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</v>
      </c>
    </row>
    <row r="2" spans="1:10" x14ac:dyDescent="0.35">
      <c r="A2">
        <v>23</v>
      </c>
      <c r="B2" t="s">
        <v>169</v>
      </c>
      <c r="D2" t="s">
        <v>34</v>
      </c>
      <c r="E2" t="s">
        <v>170</v>
      </c>
      <c r="F2" t="s">
        <v>171</v>
      </c>
      <c r="G2">
        <v>19866</v>
      </c>
      <c r="H2">
        <v>1987</v>
      </c>
      <c r="I2">
        <v>17879</v>
      </c>
    </row>
    <row r="3" spans="1:10" x14ac:dyDescent="0.35">
      <c r="A3">
        <v>24</v>
      </c>
      <c r="B3" t="s">
        <v>172</v>
      </c>
      <c r="D3" t="s">
        <v>34</v>
      </c>
      <c r="E3" t="s">
        <v>170</v>
      </c>
      <c r="F3" t="s">
        <v>171</v>
      </c>
      <c r="G3">
        <v>19866</v>
      </c>
      <c r="H3">
        <v>1987</v>
      </c>
      <c r="I3">
        <v>17879</v>
      </c>
    </row>
    <row r="4" spans="1:10" x14ac:dyDescent="0.35">
      <c r="A4">
        <v>25</v>
      </c>
      <c r="B4" t="s">
        <v>173</v>
      </c>
      <c r="D4" t="s">
        <v>34</v>
      </c>
      <c r="E4" t="s">
        <v>174</v>
      </c>
      <c r="F4" t="s">
        <v>171</v>
      </c>
      <c r="G4">
        <v>19866</v>
      </c>
      <c r="H4">
        <v>1987</v>
      </c>
      <c r="I4">
        <v>17879</v>
      </c>
    </row>
    <row r="5" spans="1:10" x14ac:dyDescent="0.35">
      <c r="A5">
        <v>26</v>
      </c>
      <c r="B5" t="s">
        <v>175</v>
      </c>
      <c r="D5" t="s">
        <v>34</v>
      </c>
      <c r="E5" t="s">
        <v>174</v>
      </c>
      <c r="F5" t="s">
        <v>171</v>
      </c>
      <c r="G5">
        <v>19866</v>
      </c>
      <c r="H5">
        <v>1987</v>
      </c>
      <c r="I5">
        <v>17879</v>
      </c>
    </row>
    <row r="6" spans="1:10" x14ac:dyDescent="0.35">
      <c r="A6">
        <v>27</v>
      </c>
      <c r="B6" t="s">
        <v>176</v>
      </c>
      <c r="D6" t="s">
        <v>177</v>
      </c>
      <c r="E6" t="s">
        <v>178</v>
      </c>
      <c r="F6" t="s">
        <v>171</v>
      </c>
      <c r="G6">
        <v>19866</v>
      </c>
      <c r="H6">
        <v>1987</v>
      </c>
      <c r="I6">
        <v>17879</v>
      </c>
    </row>
    <row r="7" spans="1:10" x14ac:dyDescent="0.35">
      <c r="A7">
        <v>28</v>
      </c>
      <c r="B7" t="s">
        <v>179</v>
      </c>
      <c r="D7" t="s">
        <v>180</v>
      </c>
      <c r="E7" t="s">
        <v>178</v>
      </c>
      <c r="F7" t="s">
        <v>171</v>
      </c>
      <c r="G7">
        <v>19866</v>
      </c>
      <c r="H7">
        <v>1987</v>
      </c>
      <c r="I7">
        <v>17879</v>
      </c>
    </row>
    <row r="8" spans="1:10" x14ac:dyDescent="0.35">
      <c r="A8">
        <v>29</v>
      </c>
      <c r="B8" t="s">
        <v>181</v>
      </c>
      <c r="D8" t="s">
        <v>180</v>
      </c>
      <c r="E8" t="s">
        <v>182</v>
      </c>
      <c r="F8" t="s">
        <v>171</v>
      </c>
      <c r="G8">
        <v>19866</v>
      </c>
      <c r="H8">
        <v>1987</v>
      </c>
      <c r="I8">
        <v>17879</v>
      </c>
    </row>
    <row r="9" spans="1:10" x14ac:dyDescent="0.35">
      <c r="A9">
        <v>30</v>
      </c>
      <c r="B9" t="s">
        <v>183</v>
      </c>
      <c r="D9" t="s">
        <v>180</v>
      </c>
      <c r="E9" t="s">
        <v>182</v>
      </c>
      <c r="F9" t="s">
        <v>171</v>
      </c>
      <c r="G9">
        <v>19866</v>
      </c>
      <c r="H9">
        <v>1987</v>
      </c>
      <c r="I9">
        <v>17879</v>
      </c>
    </row>
    <row r="10" spans="1:10" x14ac:dyDescent="0.35">
      <c r="A10">
        <v>31</v>
      </c>
      <c r="B10" t="s">
        <v>184</v>
      </c>
      <c r="D10" t="s">
        <v>185</v>
      </c>
      <c r="E10" t="s">
        <v>186</v>
      </c>
      <c r="F10" t="s">
        <v>187</v>
      </c>
      <c r="G10">
        <v>19866</v>
      </c>
      <c r="H10">
        <v>1987</v>
      </c>
      <c r="I10">
        <v>17879</v>
      </c>
    </row>
    <row r="11" spans="1:10" x14ac:dyDescent="0.35">
      <c r="A11">
        <v>32</v>
      </c>
      <c r="B11" t="s">
        <v>188</v>
      </c>
      <c r="D11" t="s">
        <v>189</v>
      </c>
      <c r="E11" t="s">
        <v>186</v>
      </c>
      <c r="F11" t="s">
        <v>187</v>
      </c>
      <c r="G11">
        <v>19866</v>
      </c>
      <c r="H11">
        <v>1987</v>
      </c>
      <c r="I11">
        <v>17879</v>
      </c>
    </row>
    <row r="12" spans="1:10" x14ac:dyDescent="0.35">
      <c r="A12">
        <v>33</v>
      </c>
      <c r="B12" t="s">
        <v>190</v>
      </c>
      <c r="D12" t="s">
        <v>189</v>
      </c>
      <c r="E12" t="s">
        <v>191</v>
      </c>
      <c r="F12" t="s">
        <v>192</v>
      </c>
      <c r="G12">
        <v>19866</v>
      </c>
      <c r="H12">
        <v>1987</v>
      </c>
      <c r="I12">
        <v>17879</v>
      </c>
    </row>
    <row r="13" spans="1:10" x14ac:dyDescent="0.35">
      <c r="A13">
        <v>34</v>
      </c>
      <c r="B13" t="s">
        <v>193</v>
      </c>
      <c r="D13" t="s">
        <v>189</v>
      </c>
      <c r="E13" t="s">
        <v>191</v>
      </c>
      <c r="F13" t="s">
        <v>187</v>
      </c>
      <c r="G13">
        <v>19866</v>
      </c>
      <c r="H13">
        <v>1987</v>
      </c>
      <c r="I13">
        <v>17879</v>
      </c>
    </row>
    <row r="14" spans="1:10" x14ac:dyDescent="0.35">
      <c r="A14">
        <v>35</v>
      </c>
      <c r="B14" t="s">
        <v>194</v>
      </c>
      <c r="D14" t="s">
        <v>189</v>
      </c>
      <c r="E14" t="s">
        <v>195</v>
      </c>
      <c r="F14" t="s">
        <v>187</v>
      </c>
      <c r="G14">
        <v>19866</v>
      </c>
      <c r="H14">
        <v>4154</v>
      </c>
      <c r="I14">
        <v>15712</v>
      </c>
    </row>
    <row r="15" spans="1:10" x14ac:dyDescent="0.35">
      <c r="A15">
        <v>36</v>
      </c>
      <c r="B15" t="s">
        <v>196</v>
      </c>
      <c r="D15" t="s">
        <v>197</v>
      </c>
      <c r="E15" t="s">
        <v>195</v>
      </c>
      <c r="F15" t="s">
        <v>187</v>
      </c>
      <c r="G15">
        <v>19866</v>
      </c>
      <c r="H15">
        <v>4154</v>
      </c>
      <c r="I15">
        <v>15712</v>
      </c>
    </row>
    <row r="16" spans="1:10" x14ac:dyDescent="0.35">
      <c r="A16">
        <v>37</v>
      </c>
      <c r="B16" t="s">
        <v>198</v>
      </c>
      <c r="D16" t="s">
        <v>199</v>
      </c>
      <c r="E16" t="s">
        <v>200</v>
      </c>
      <c r="F16" t="s">
        <v>187</v>
      </c>
      <c r="G16">
        <v>19866</v>
      </c>
      <c r="H16">
        <v>1987</v>
      </c>
      <c r="I16">
        <v>17879</v>
      </c>
    </row>
    <row r="17" spans="1:9" x14ac:dyDescent="0.35">
      <c r="A17">
        <v>38</v>
      </c>
      <c r="B17" t="s">
        <v>201</v>
      </c>
      <c r="D17" t="s">
        <v>199</v>
      </c>
      <c r="E17" t="s">
        <v>200</v>
      </c>
      <c r="F17" t="s">
        <v>187</v>
      </c>
      <c r="G17">
        <v>19866</v>
      </c>
      <c r="H17">
        <v>1987</v>
      </c>
      <c r="I17">
        <v>17879</v>
      </c>
    </row>
    <row r="18" spans="1:9" x14ac:dyDescent="0.35">
      <c r="A18">
        <v>39</v>
      </c>
      <c r="B18" t="s">
        <v>202</v>
      </c>
      <c r="D18" t="s">
        <v>199</v>
      </c>
      <c r="E18" t="s">
        <v>203</v>
      </c>
      <c r="F18" t="s">
        <v>187</v>
      </c>
      <c r="G18">
        <v>19866</v>
      </c>
      <c r="H18">
        <v>1987</v>
      </c>
      <c r="I18">
        <v>17879</v>
      </c>
    </row>
    <row r="19" spans="1:9" x14ac:dyDescent="0.35">
      <c r="A19">
        <v>40</v>
      </c>
      <c r="B19" t="s">
        <v>204</v>
      </c>
      <c r="D19" t="s">
        <v>205</v>
      </c>
      <c r="E19" t="s">
        <v>203</v>
      </c>
      <c r="F19" t="s">
        <v>187</v>
      </c>
      <c r="G19">
        <v>19866</v>
      </c>
      <c r="H19">
        <v>1987</v>
      </c>
      <c r="I19">
        <v>17879</v>
      </c>
    </row>
    <row r="20" spans="1:9" x14ac:dyDescent="0.35">
      <c r="A20">
        <v>41</v>
      </c>
      <c r="B20" t="s">
        <v>206</v>
      </c>
      <c r="D20" t="s">
        <v>207</v>
      </c>
      <c r="E20" t="s">
        <v>208</v>
      </c>
      <c r="F20" t="s">
        <v>187</v>
      </c>
      <c r="G20">
        <v>19866</v>
      </c>
      <c r="H20">
        <v>1987</v>
      </c>
      <c r="I20">
        <v>17879</v>
      </c>
    </row>
    <row r="21" spans="1:9" x14ac:dyDescent="0.35">
      <c r="A21">
        <v>42</v>
      </c>
      <c r="B21" t="s">
        <v>209</v>
      </c>
      <c r="D21" t="s">
        <v>207</v>
      </c>
      <c r="E21" t="s">
        <v>208</v>
      </c>
      <c r="F21" t="s">
        <v>187</v>
      </c>
      <c r="G21">
        <v>19866</v>
      </c>
      <c r="H21">
        <v>1987</v>
      </c>
      <c r="I21">
        <v>17879</v>
      </c>
    </row>
    <row r="22" spans="1:9" x14ac:dyDescent="0.35">
      <c r="A22">
        <v>43</v>
      </c>
      <c r="B22" t="s">
        <v>210</v>
      </c>
      <c r="D22" t="s">
        <v>207</v>
      </c>
      <c r="E22" t="s">
        <v>211</v>
      </c>
      <c r="F22" t="s">
        <v>187</v>
      </c>
      <c r="G22">
        <v>19866</v>
      </c>
      <c r="H22">
        <v>1987</v>
      </c>
      <c r="I22">
        <v>17879</v>
      </c>
    </row>
    <row r="23" spans="1:9" x14ac:dyDescent="0.35">
      <c r="A23">
        <v>44</v>
      </c>
      <c r="B23" t="s">
        <v>212</v>
      </c>
      <c r="D23" t="s">
        <v>213</v>
      </c>
      <c r="E23" t="s">
        <v>211</v>
      </c>
      <c r="F23" t="s">
        <v>187</v>
      </c>
      <c r="G23">
        <v>19866</v>
      </c>
      <c r="H23">
        <v>1987</v>
      </c>
      <c r="I23">
        <v>17879</v>
      </c>
    </row>
    <row r="24" spans="1:9" x14ac:dyDescent="0.35">
      <c r="A24">
        <v>45</v>
      </c>
      <c r="B24" t="s">
        <v>214</v>
      </c>
      <c r="D24" t="s">
        <v>215</v>
      </c>
      <c r="E24" t="s">
        <v>216</v>
      </c>
      <c r="F24" t="s">
        <v>187</v>
      </c>
      <c r="G24">
        <v>19866</v>
      </c>
      <c r="H24">
        <v>1987</v>
      </c>
      <c r="I24">
        <v>17879</v>
      </c>
    </row>
    <row r="25" spans="1:9" x14ac:dyDescent="0.35">
      <c r="A25">
        <v>46</v>
      </c>
      <c r="B25" t="s">
        <v>217</v>
      </c>
      <c r="D25" t="s">
        <v>215</v>
      </c>
      <c r="E25" t="s">
        <v>216</v>
      </c>
      <c r="F25" t="s">
        <v>187</v>
      </c>
      <c r="G25">
        <v>19866</v>
      </c>
      <c r="H25">
        <v>1987</v>
      </c>
      <c r="I25">
        <v>17879</v>
      </c>
    </row>
    <row r="26" spans="1:9" x14ac:dyDescent="0.35">
      <c r="A26">
        <v>47</v>
      </c>
      <c r="B26" t="s">
        <v>218</v>
      </c>
      <c r="D26" t="s">
        <v>215</v>
      </c>
      <c r="E26" t="s">
        <v>219</v>
      </c>
      <c r="F26" t="s">
        <v>187</v>
      </c>
      <c r="G26">
        <v>19866</v>
      </c>
      <c r="H26">
        <v>1987</v>
      </c>
      <c r="I26">
        <v>17879</v>
      </c>
    </row>
    <row r="27" spans="1:9" x14ac:dyDescent="0.35">
      <c r="A27">
        <v>48</v>
      </c>
      <c r="B27" t="s">
        <v>220</v>
      </c>
      <c r="D27" t="s">
        <v>215</v>
      </c>
      <c r="E27" t="s">
        <v>219</v>
      </c>
      <c r="F27" t="s">
        <v>187</v>
      </c>
      <c r="G27">
        <v>19866</v>
      </c>
      <c r="H27">
        <v>1987</v>
      </c>
      <c r="I27">
        <v>17879</v>
      </c>
    </row>
    <row r="28" spans="1:9" x14ac:dyDescent="0.35">
      <c r="A28">
        <v>49</v>
      </c>
      <c r="B28" t="s">
        <v>221</v>
      </c>
      <c r="D28" t="s">
        <v>222</v>
      </c>
      <c r="E28" t="s">
        <v>223</v>
      </c>
      <c r="F28" t="s">
        <v>187</v>
      </c>
      <c r="G28">
        <v>19866</v>
      </c>
      <c r="H28">
        <v>1987</v>
      </c>
      <c r="I28">
        <v>17879</v>
      </c>
    </row>
    <row r="29" spans="1:9" x14ac:dyDescent="0.35">
      <c r="A29">
        <v>50</v>
      </c>
      <c r="B29" t="s">
        <v>224</v>
      </c>
      <c r="D29" t="s">
        <v>225</v>
      </c>
      <c r="E29" t="s">
        <v>223</v>
      </c>
      <c r="F29" t="s">
        <v>187</v>
      </c>
      <c r="G29">
        <v>19866</v>
      </c>
      <c r="H29">
        <v>1987</v>
      </c>
      <c r="I29">
        <v>17879</v>
      </c>
    </row>
    <row r="30" spans="1:9" x14ac:dyDescent="0.35">
      <c r="A30">
        <v>51</v>
      </c>
      <c r="B30" t="s">
        <v>226</v>
      </c>
      <c r="D30" t="s">
        <v>225</v>
      </c>
      <c r="E30" t="s">
        <v>227</v>
      </c>
      <c r="F30" t="s">
        <v>78</v>
      </c>
      <c r="G30">
        <v>0</v>
      </c>
      <c r="H30">
        <v>0</v>
      </c>
      <c r="I30">
        <v>0</v>
      </c>
    </row>
    <row r="31" spans="1:9" x14ac:dyDescent="0.35">
      <c r="A31">
        <v>52</v>
      </c>
      <c r="B31" t="s">
        <v>228</v>
      </c>
      <c r="D31" t="s">
        <v>225</v>
      </c>
      <c r="E31" t="s">
        <v>227</v>
      </c>
      <c r="F31" t="s">
        <v>78</v>
      </c>
      <c r="G31">
        <v>0</v>
      </c>
      <c r="H31">
        <v>0</v>
      </c>
      <c r="I31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opLeftCell="G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18" customWidth="1"/>
    <col min="3" max="3" width="14" customWidth="1"/>
    <col min="4" max="4" width="17.7265625" customWidth="1"/>
    <col min="5" max="5" width="15" customWidth="1"/>
    <col min="6" max="6" width="14" customWidth="1"/>
    <col min="7" max="7" width="20.26953125" customWidth="1"/>
    <col min="8" max="8" width="14" customWidth="1"/>
    <col min="9" max="9" width="17" customWidth="1"/>
    <col min="10" max="10" width="14.7265625" customWidth="1"/>
  </cols>
  <sheetData>
    <row r="1" spans="1:10" x14ac:dyDescent="0.35">
      <c r="A1" t="s">
        <v>229</v>
      </c>
      <c r="B1" t="s">
        <v>7</v>
      </c>
      <c r="C1" t="s">
        <v>47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16</v>
      </c>
    </row>
    <row r="2" spans="1:10" x14ac:dyDescent="0.35">
      <c r="A2" t="s">
        <v>39</v>
      </c>
      <c r="B2" t="s">
        <v>18</v>
      </c>
      <c r="C2" t="s">
        <v>236</v>
      </c>
      <c r="D2">
        <v>930</v>
      </c>
      <c r="E2">
        <v>4800</v>
      </c>
      <c r="F2">
        <v>-3870</v>
      </c>
      <c r="G2">
        <v>0</v>
      </c>
      <c r="H2" t="s">
        <v>237</v>
      </c>
      <c r="I2" t="s">
        <v>238</v>
      </c>
      <c r="J2" t="s">
        <v>239</v>
      </c>
    </row>
    <row r="3" spans="1:10" x14ac:dyDescent="0.35">
      <c r="A3" t="s">
        <v>39</v>
      </c>
      <c r="B3" t="s">
        <v>18</v>
      </c>
      <c r="C3" t="s">
        <v>240</v>
      </c>
      <c r="D3">
        <v>18130</v>
      </c>
      <c r="E3">
        <v>12730</v>
      </c>
      <c r="F3">
        <v>5400</v>
      </c>
      <c r="G3">
        <v>540</v>
      </c>
      <c r="H3" t="s">
        <v>241</v>
      </c>
      <c r="I3" t="s">
        <v>238</v>
      </c>
      <c r="J3" t="s">
        <v>239</v>
      </c>
    </row>
    <row r="4" spans="1:10" x14ac:dyDescent="0.35">
      <c r="A4" t="s">
        <v>39</v>
      </c>
      <c r="B4" t="s">
        <v>18</v>
      </c>
      <c r="C4" t="s">
        <v>242</v>
      </c>
      <c r="D4">
        <v>13370</v>
      </c>
      <c r="E4">
        <v>29670</v>
      </c>
      <c r="F4">
        <v>-16300</v>
      </c>
      <c r="G4">
        <v>0</v>
      </c>
      <c r="H4" t="s">
        <v>237</v>
      </c>
      <c r="I4" t="s">
        <v>238</v>
      </c>
      <c r="J4" t="s">
        <v>239</v>
      </c>
    </row>
    <row r="5" spans="1:10" x14ac:dyDescent="0.35">
      <c r="A5" t="s">
        <v>39</v>
      </c>
      <c r="B5" t="s">
        <v>18</v>
      </c>
      <c r="C5" t="s">
        <v>243</v>
      </c>
      <c r="D5">
        <v>11720</v>
      </c>
      <c r="E5">
        <v>24660</v>
      </c>
      <c r="F5">
        <v>-12940</v>
      </c>
      <c r="G5">
        <v>0</v>
      </c>
      <c r="H5" t="s">
        <v>237</v>
      </c>
      <c r="I5" t="s">
        <v>238</v>
      </c>
      <c r="J5" t="s">
        <v>239</v>
      </c>
    </row>
    <row r="6" spans="1:10" x14ac:dyDescent="0.35">
      <c r="A6" t="s">
        <v>39</v>
      </c>
      <c r="B6" t="s">
        <v>18</v>
      </c>
      <c r="C6" t="s">
        <v>244</v>
      </c>
      <c r="D6">
        <v>15280</v>
      </c>
      <c r="E6">
        <v>0</v>
      </c>
      <c r="F6">
        <v>15280</v>
      </c>
      <c r="G6">
        <v>1528</v>
      </c>
      <c r="H6" t="s">
        <v>241</v>
      </c>
      <c r="I6" t="s">
        <v>238</v>
      </c>
      <c r="J6" t="s">
        <v>239</v>
      </c>
    </row>
    <row r="7" spans="1:10" x14ac:dyDescent="0.35">
      <c r="A7" t="s">
        <v>39</v>
      </c>
      <c r="B7" t="s">
        <v>23</v>
      </c>
      <c r="C7" t="s">
        <v>236</v>
      </c>
      <c r="D7">
        <v>9340</v>
      </c>
      <c r="E7">
        <v>17970</v>
      </c>
      <c r="F7">
        <v>-8630</v>
      </c>
      <c r="G7">
        <v>0</v>
      </c>
      <c r="H7" t="s">
        <v>237</v>
      </c>
      <c r="I7" t="s">
        <v>238</v>
      </c>
      <c r="J7" t="s">
        <v>239</v>
      </c>
    </row>
    <row r="8" spans="1:10" x14ac:dyDescent="0.35">
      <c r="A8" t="s">
        <v>39</v>
      </c>
      <c r="B8" t="s">
        <v>23</v>
      </c>
      <c r="C8" t="s">
        <v>240</v>
      </c>
      <c r="D8">
        <v>6550</v>
      </c>
      <c r="E8">
        <v>16180</v>
      </c>
      <c r="F8">
        <v>-9630</v>
      </c>
      <c r="G8">
        <v>0</v>
      </c>
      <c r="H8" t="s">
        <v>237</v>
      </c>
      <c r="I8" t="s">
        <v>238</v>
      </c>
      <c r="J8" t="s">
        <v>239</v>
      </c>
    </row>
    <row r="9" spans="1:10" x14ac:dyDescent="0.35">
      <c r="A9" t="s">
        <v>39</v>
      </c>
      <c r="B9" t="s">
        <v>23</v>
      </c>
      <c r="C9" t="s">
        <v>242</v>
      </c>
      <c r="D9">
        <v>7960</v>
      </c>
      <c r="E9">
        <v>29580</v>
      </c>
      <c r="F9">
        <v>-21620</v>
      </c>
      <c r="G9">
        <v>0</v>
      </c>
      <c r="H9" t="s">
        <v>237</v>
      </c>
      <c r="I9" t="s">
        <v>238</v>
      </c>
      <c r="J9" t="s">
        <v>239</v>
      </c>
    </row>
    <row r="10" spans="1:10" x14ac:dyDescent="0.35">
      <c r="A10" t="s">
        <v>39</v>
      </c>
      <c r="B10" t="s">
        <v>23</v>
      </c>
      <c r="C10" t="s">
        <v>243</v>
      </c>
      <c r="D10">
        <v>6330</v>
      </c>
      <c r="E10">
        <v>16670</v>
      </c>
      <c r="F10">
        <v>-10340</v>
      </c>
      <c r="G10">
        <v>0</v>
      </c>
      <c r="H10" t="s">
        <v>237</v>
      </c>
      <c r="I10" t="s">
        <v>238</v>
      </c>
      <c r="J10" t="s">
        <v>239</v>
      </c>
    </row>
    <row r="11" spans="1:10" x14ac:dyDescent="0.35">
      <c r="A11" t="s">
        <v>39</v>
      </c>
      <c r="B11" t="s">
        <v>23</v>
      </c>
      <c r="C11" t="s">
        <v>244</v>
      </c>
      <c r="D11">
        <v>10345</v>
      </c>
      <c r="E11">
        <v>0</v>
      </c>
      <c r="F11">
        <v>10345</v>
      </c>
      <c r="G11">
        <v>1034.5</v>
      </c>
      <c r="H11" t="s">
        <v>241</v>
      </c>
      <c r="I11" t="s">
        <v>238</v>
      </c>
      <c r="J11" t="s">
        <v>239</v>
      </c>
    </row>
    <row r="12" spans="1:10" x14ac:dyDescent="0.35">
      <c r="A12" t="s">
        <v>39</v>
      </c>
      <c r="B12" t="s">
        <v>36</v>
      </c>
      <c r="C12" t="s">
        <v>236</v>
      </c>
      <c r="D12">
        <v>300</v>
      </c>
      <c r="E12">
        <v>8560</v>
      </c>
      <c r="F12">
        <v>-8260</v>
      </c>
      <c r="G12">
        <v>0</v>
      </c>
      <c r="H12" t="s">
        <v>237</v>
      </c>
      <c r="I12" t="s">
        <v>238</v>
      </c>
      <c r="J12" t="s">
        <v>239</v>
      </c>
    </row>
    <row r="13" spans="1:10" x14ac:dyDescent="0.35">
      <c r="A13" t="s">
        <v>39</v>
      </c>
      <c r="B13" t="s">
        <v>36</v>
      </c>
      <c r="C13" t="s">
        <v>240</v>
      </c>
      <c r="D13">
        <v>1050</v>
      </c>
      <c r="E13">
        <v>8170</v>
      </c>
      <c r="F13">
        <v>-7120</v>
      </c>
      <c r="G13">
        <v>0</v>
      </c>
      <c r="H13" t="s">
        <v>237</v>
      </c>
      <c r="I13" t="s">
        <v>238</v>
      </c>
      <c r="J13" t="s">
        <v>239</v>
      </c>
    </row>
    <row r="14" spans="1:10" x14ac:dyDescent="0.35">
      <c r="A14" t="s">
        <v>39</v>
      </c>
      <c r="B14" t="s">
        <v>36</v>
      </c>
      <c r="C14" t="s">
        <v>242</v>
      </c>
      <c r="D14">
        <v>2890</v>
      </c>
      <c r="E14">
        <v>20060</v>
      </c>
      <c r="F14">
        <v>-17170</v>
      </c>
      <c r="G14">
        <v>0</v>
      </c>
      <c r="H14" t="s">
        <v>237</v>
      </c>
      <c r="I14" t="s">
        <v>238</v>
      </c>
      <c r="J14" t="s">
        <v>239</v>
      </c>
    </row>
    <row r="15" spans="1:10" x14ac:dyDescent="0.35">
      <c r="A15" t="s">
        <v>39</v>
      </c>
      <c r="B15" t="s">
        <v>36</v>
      </c>
      <c r="C15" t="s">
        <v>243</v>
      </c>
      <c r="D15">
        <v>4970</v>
      </c>
      <c r="E15">
        <v>23980</v>
      </c>
      <c r="F15">
        <v>-19010</v>
      </c>
      <c r="G15">
        <v>0</v>
      </c>
      <c r="H15" t="s">
        <v>237</v>
      </c>
      <c r="I15" t="s">
        <v>238</v>
      </c>
      <c r="J15" t="s">
        <v>239</v>
      </c>
    </row>
    <row r="16" spans="1:10" x14ac:dyDescent="0.35">
      <c r="A16" t="s">
        <v>39</v>
      </c>
      <c r="B16" t="s">
        <v>36</v>
      </c>
      <c r="C16" t="s">
        <v>244</v>
      </c>
      <c r="D16">
        <v>640</v>
      </c>
      <c r="E16">
        <v>0</v>
      </c>
      <c r="F16">
        <v>640</v>
      </c>
      <c r="G16">
        <v>64</v>
      </c>
      <c r="H16" t="s">
        <v>241</v>
      </c>
      <c r="I16" t="s">
        <v>238</v>
      </c>
      <c r="J16" t="s">
        <v>239</v>
      </c>
    </row>
    <row r="17" spans="1:10" x14ac:dyDescent="0.35">
      <c r="A17" t="s">
        <v>39</v>
      </c>
      <c r="B17" t="s">
        <v>245</v>
      </c>
      <c r="C17" t="s">
        <v>240</v>
      </c>
      <c r="D17">
        <v>7490</v>
      </c>
      <c r="E17">
        <v>0</v>
      </c>
      <c r="F17">
        <v>7490</v>
      </c>
      <c r="G17">
        <v>749</v>
      </c>
      <c r="H17" t="s">
        <v>241</v>
      </c>
      <c r="I17" t="s">
        <v>238</v>
      </c>
      <c r="J17" t="s">
        <v>239</v>
      </c>
    </row>
    <row r="18" spans="1:10" x14ac:dyDescent="0.35">
      <c r="A18" t="s">
        <v>39</v>
      </c>
      <c r="B18" t="s">
        <v>245</v>
      </c>
      <c r="C18" t="s">
        <v>242</v>
      </c>
      <c r="D18">
        <v>2300</v>
      </c>
      <c r="E18">
        <v>0</v>
      </c>
      <c r="F18">
        <v>2300</v>
      </c>
      <c r="G18">
        <v>230</v>
      </c>
      <c r="H18" t="s">
        <v>241</v>
      </c>
      <c r="I18" t="s">
        <v>238</v>
      </c>
      <c r="J18" t="s">
        <v>239</v>
      </c>
    </row>
    <row r="19" spans="1:10" x14ac:dyDescent="0.35">
      <c r="A19" t="s">
        <v>39</v>
      </c>
      <c r="B19" t="s">
        <v>245</v>
      </c>
      <c r="C19" t="s">
        <v>243</v>
      </c>
      <c r="D19">
        <v>3250</v>
      </c>
      <c r="E19">
        <v>0</v>
      </c>
      <c r="F19">
        <v>3250</v>
      </c>
      <c r="G19">
        <v>325</v>
      </c>
      <c r="H19" t="s">
        <v>241</v>
      </c>
      <c r="I19" t="s">
        <v>238</v>
      </c>
      <c r="J19" t="s">
        <v>239</v>
      </c>
    </row>
    <row r="20" spans="1:10" x14ac:dyDescent="0.35">
      <c r="A20" t="s">
        <v>39</v>
      </c>
      <c r="B20" t="s">
        <v>245</v>
      </c>
      <c r="C20" t="s">
        <v>244</v>
      </c>
      <c r="D20">
        <v>2240</v>
      </c>
      <c r="E20">
        <v>0</v>
      </c>
      <c r="F20">
        <v>2240</v>
      </c>
      <c r="G20">
        <v>224</v>
      </c>
      <c r="H20" t="s">
        <v>241</v>
      </c>
      <c r="I20" t="s">
        <v>238</v>
      </c>
      <c r="J20" t="s">
        <v>239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topLeftCell="F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4" width="14" customWidth="1"/>
    <col min="5" max="5" width="17.81640625" bestFit="1" customWidth="1"/>
    <col min="6" max="6" width="15.7265625" bestFit="1" customWidth="1"/>
    <col min="7" max="7" width="14" customWidth="1"/>
    <col min="8" max="8" width="15" customWidth="1"/>
    <col min="9" max="9" width="63.6328125" bestFit="1" customWidth="1"/>
    <col min="10" max="10" width="14.453125" bestFit="1" customWidth="1"/>
  </cols>
  <sheetData>
    <row r="1" spans="1:10" x14ac:dyDescent="0.35">
      <c r="A1" s="1" t="s">
        <v>1</v>
      </c>
      <c r="B1" s="1" t="s">
        <v>130</v>
      </c>
      <c r="C1" s="1" t="s">
        <v>49</v>
      </c>
      <c r="D1" s="1" t="s">
        <v>50</v>
      </c>
      <c r="E1" s="1" t="s">
        <v>46</v>
      </c>
      <c r="F1" s="1" t="s">
        <v>246</v>
      </c>
      <c r="G1" s="1" t="s">
        <v>247</v>
      </c>
      <c r="H1" s="1" t="s">
        <v>248</v>
      </c>
      <c r="I1" s="1" t="s">
        <v>16</v>
      </c>
      <c r="J1" s="37" t="s">
        <v>711</v>
      </c>
    </row>
    <row r="2" spans="1:10" x14ac:dyDescent="0.35">
      <c r="A2" t="s">
        <v>249</v>
      </c>
      <c r="B2" t="s">
        <v>250</v>
      </c>
      <c r="C2">
        <v>4</v>
      </c>
      <c r="D2">
        <v>40</v>
      </c>
      <c r="E2" t="s">
        <v>251</v>
      </c>
      <c r="F2" t="s">
        <v>252</v>
      </c>
      <c r="G2">
        <v>5</v>
      </c>
      <c r="H2" t="s">
        <v>141</v>
      </c>
      <c r="J2" t="s">
        <v>244</v>
      </c>
    </row>
    <row r="3" spans="1:10" x14ac:dyDescent="0.35">
      <c r="A3" t="s">
        <v>249</v>
      </c>
      <c r="B3" t="s">
        <v>253</v>
      </c>
      <c r="C3">
        <v>8</v>
      </c>
      <c r="D3">
        <v>80</v>
      </c>
      <c r="E3" t="s">
        <v>251</v>
      </c>
      <c r="F3" t="s">
        <v>254</v>
      </c>
      <c r="G3">
        <v>10</v>
      </c>
      <c r="H3" t="s">
        <v>141</v>
      </c>
      <c r="I3" t="s">
        <v>255</v>
      </c>
      <c r="J3" t="s">
        <v>244</v>
      </c>
    </row>
    <row r="4" spans="1:10" x14ac:dyDescent="0.35">
      <c r="A4" t="s">
        <v>249</v>
      </c>
      <c r="B4" t="s">
        <v>256</v>
      </c>
      <c r="C4">
        <v>8</v>
      </c>
      <c r="D4">
        <v>80</v>
      </c>
      <c r="E4" t="s">
        <v>257</v>
      </c>
      <c r="F4" t="s">
        <v>254</v>
      </c>
      <c r="G4">
        <v>10</v>
      </c>
      <c r="H4" t="s">
        <v>141</v>
      </c>
      <c r="I4" t="s">
        <v>255</v>
      </c>
      <c r="J4" t="s">
        <v>244</v>
      </c>
    </row>
    <row r="5" spans="1:10" x14ac:dyDescent="0.35">
      <c r="A5" t="s">
        <v>249</v>
      </c>
      <c r="B5" t="s">
        <v>258</v>
      </c>
      <c r="C5">
        <v>4</v>
      </c>
      <c r="D5">
        <v>40</v>
      </c>
      <c r="E5" t="s">
        <v>259</v>
      </c>
      <c r="F5" t="s">
        <v>252</v>
      </c>
      <c r="G5">
        <v>5</v>
      </c>
      <c r="H5" t="s">
        <v>141</v>
      </c>
      <c r="J5" t="s">
        <v>244</v>
      </c>
    </row>
    <row r="6" spans="1:10" x14ac:dyDescent="0.35">
      <c r="A6" t="s">
        <v>249</v>
      </c>
      <c r="B6" t="s">
        <v>260</v>
      </c>
      <c r="C6">
        <v>4</v>
      </c>
      <c r="D6">
        <v>40</v>
      </c>
      <c r="E6" t="s">
        <v>251</v>
      </c>
      <c r="F6" t="s">
        <v>252</v>
      </c>
      <c r="G6">
        <v>5</v>
      </c>
      <c r="H6" t="s">
        <v>141</v>
      </c>
      <c r="I6" t="s">
        <v>255</v>
      </c>
      <c r="J6" t="s">
        <v>244</v>
      </c>
    </row>
    <row r="7" spans="1:10" x14ac:dyDescent="0.35">
      <c r="A7" t="s">
        <v>249</v>
      </c>
      <c r="B7" t="s">
        <v>261</v>
      </c>
      <c r="C7">
        <v>4</v>
      </c>
      <c r="D7">
        <v>40</v>
      </c>
      <c r="E7" t="s">
        <v>251</v>
      </c>
      <c r="F7" t="s">
        <v>254</v>
      </c>
      <c r="G7">
        <v>5</v>
      </c>
      <c r="H7" t="s">
        <v>141</v>
      </c>
      <c r="I7" t="s">
        <v>255</v>
      </c>
      <c r="J7" t="s">
        <v>244</v>
      </c>
    </row>
    <row r="8" spans="1:10" x14ac:dyDescent="0.35">
      <c r="A8" t="s">
        <v>249</v>
      </c>
      <c r="B8" t="s">
        <v>262</v>
      </c>
      <c r="C8">
        <v>8</v>
      </c>
      <c r="D8">
        <v>80</v>
      </c>
      <c r="E8" t="s">
        <v>251</v>
      </c>
      <c r="F8" t="s">
        <v>252</v>
      </c>
      <c r="G8">
        <v>10</v>
      </c>
      <c r="H8" t="s">
        <v>141</v>
      </c>
      <c r="J8" t="s">
        <v>244</v>
      </c>
    </row>
    <row r="9" spans="1:10" x14ac:dyDescent="0.35">
      <c r="A9" t="s">
        <v>249</v>
      </c>
      <c r="B9" t="s">
        <v>263</v>
      </c>
      <c r="C9">
        <v>8</v>
      </c>
      <c r="D9">
        <v>80</v>
      </c>
      <c r="E9" t="s">
        <v>251</v>
      </c>
      <c r="F9" t="s">
        <v>252</v>
      </c>
      <c r="G9">
        <v>10</v>
      </c>
      <c r="H9" t="s">
        <v>141</v>
      </c>
      <c r="J9" t="s">
        <v>244</v>
      </c>
    </row>
    <row r="10" spans="1:10" x14ac:dyDescent="0.35">
      <c r="A10" t="s">
        <v>249</v>
      </c>
      <c r="B10" t="s">
        <v>264</v>
      </c>
      <c r="C10">
        <v>12</v>
      </c>
      <c r="D10">
        <v>120</v>
      </c>
      <c r="E10" t="s">
        <v>251</v>
      </c>
      <c r="F10" t="s">
        <v>265</v>
      </c>
      <c r="G10">
        <v>15</v>
      </c>
      <c r="H10" t="s">
        <v>141</v>
      </c>
      <c r="J10" t="s">
        <v>244</v>
      </c>
    </row>
    <row r="11" spans="1:10" x14ac:dyDescent="0.35">
      <c r="A11" t="s">
        <v>249</v>
      </c>
      <c r="B11" t="s">
        <v>266</v>
      </c>
      <c r="C11">
        <v>4</v>
      </c>
      <c r="D11">
        <v>40</v>
      </c>
      <c r="E11" t="s">
        <v>251</v>
      </c>
      <c r="F11" t="s">
        <v>267</v>
      </c>
      <c r="G11">
        <v>5</v>
      </c>
      <c r="H11" t="s">
        <v>141</v>
      </c>
      <c r="I11" t="s">
        <v>255</v>
      </c>
      <c r="J11" t="s">
        <v>244</v>
      </c>
    </row>
    <row r="12" spans="1:10" x14ac:dyDescent="0.35">
      <c r="A12" t="s">
        <v>249</v>
      </c>
      <c r="B12" t="s">
        <v>268</v>
      </c>
      <c r="C12">
        <v>4</v>
      </c>
      <c r="D12">
        <v>40</v>
      </c>
      <c r="E12" t="s">
        <v>259</v>
      </c>
      <c r="F12" t="s">
        <v>269</v>
      </c>
      <c r="G12">
        <v>0</v>
      </c>
      <c r="H12" t="s">
        <v>141</v>
      </c>
      <c r="J12" t="s">
        <v>244</v>
      </c>
    </row>
    <row r="13" spans="1:10" x14ac:dyDescent="0.35">
      <c r="A13" t="s">
        <v>249</v>
      </c>
      <c r="B13" t="s">
        <v>270</v>
      </c>
      <c r="C13">
        <v>4</v>
      </c>
      <c r="D13">
        <v>40</v>
      </c>
      <c r="E13" t="s">
        <v>251</v>
      </c>
      <c r="F13" t="s">
        <v>252</v>
      </c>
      <c r="G13">
        <v>10</v>
      </c>
      <c r="H13" t="s">
        <v>141</v>
      </c>
      <c r="J13" t="s">
        <v>244</v>
      </c>
    </row>
    <row r="14" spans="1:10" x14ac:dyDescent="0.35">
      <c r="A14" t="s">
        <v>249</v>
      </c>
      <c r="B14" t="s">
        <v>271</v>
      </c>
      <c r="C14">
        <v>4</v>
      </c>
      <c r="D14">
        <v>40</v>
      </c>
      <c r="E14" t="s">
        <v>259</v>
      </c>
      <c r="F14" t="s">
        <v>272</v>
      </c>
      <c r="G14">
        <v>0</v>
      </c>
      <c r="H14" t="s">
        <v>141</v>
      </c>
      <c r="J14" t="s">
        <v>244</v>
      </c>
    </row>
    <row r="15" spans="1:10" x14ac:dyDescent="0.35">
      <c r="A15" t="s">
        <v>249</v>
      </c>
      <c r="B15" t="s">
        <v>273</v>
      </c>
      <c r="C15">
        <v>8</v>
      </c>
      <c r="D15">
        <v>80</v>
      </c>
      <c r="E15" t="s">
        <v>259</v>
      </c>
      <c r="F15" t="s">
        <v>252</v>
      </c>
      <c r="G15">
        <v>10</v>
      </c>
      <c r="H15" t="s">
        <v>141</v>
      </c>
      <c r="J15" t="s">
        <v>244</v>
      </c>
    </row>
    <row r="16" spans="1:10" x14ac:dyDescent="0.35">
      <c r="A16" t="s">
        <v>249</v>
      </c>
      <c r="B16" t="s">
        <v>274</v>
      </c>
      <c r="C16">
        <v>8</v>
      </c>
      <c r="D16">
        <v>80</v>
      </c>
      <c r="E16" t="s">
        <v>251</v>
      </c>
      <c r="F16" t="s">
        <v>252</v>
      </c>
      <c r="G16">
        <v>12</v>
      </c>
      <c r="H16" t="s">
        <v>141</v>
      </c>
      <c r="J16" t="s">
        <v>244</v>
      </c>
    </row>
    <row r="17" spans="1:10" x14ac:dyDescent="0.35">
      <c r="A17" t="s">
        <v>249</v>
      </c>
      <c r="B17" t="s">
        <v>275</v>
      </c>
      <c r="C17">
        <v>4</v>
      </c>
      <c r="D17">
        <v>40</v>
      </c>
      <c r="E17" t="s">
        <v>251</v>
      </c>
      <c r="F17" t="s">
        <v>265</v>
      </c>
      <c r="G17">
        <v>5</v>
      </c>
      <c r="H17" t="s">
        <v>141</v>
      </c>
      <c r="J17" t="s">
        <v>244</v>
      </c>
    </row>
    <row r="18" spans="1:10" x14ac:dyDescent="0.35">
      <c r="A18" t="s">
        <v>249</v>
      </c>
      <c r="B18" t="s">
        <v>276</v>
      </c>
      <c r="C18">
        <v>4</v>
      </c>
      <c r="D18">
        <v>40</v>
      </c>
      <c r="E18" t="s">
        <v>259</v>
      </c>
      <c r="F18" t="s">
        <v>265</v>
      </c>
      <c r="G18">
        <v>5</v>
      </c>
      <c r="H18" t="s">
        <v>141</v>
      </c>
      <c r="J18" t="s">
        <v>244</v>
      </c>
    </row>
    <row r="19" spans="1:10" x14ac:dyDescent="0.35">
      <c r="A19" t="s">
        <v>249</v>
      </c>
      <c r="B19" t="s">
        <v>277</v>
      </c>
      <c r="C19">
        <v>4</v>
      </c>
      <c r="D19">
        <v>40</v>
      </c>
      <c r="E19" t="s">
        <v>251</v>
      </c>
      <c r="F19" t="s">
        <v>265</v>
      </c>
      <c r="G19">
        <v>5</v>
      </c>
      <c r="H19" t="s">
        <v>141</v>
      </c>
      <c r="J19" t="s">
        <v>244</v>
      </c>
    </row>
    <row r="20" spans="1:10" x14ac:dyDescent="0.35">
      <c r="A20" t="s">
        <v>249</v>
      </c>
      <c r="B20" t="s">
        <v>278</v>
      </c>
      <c r="C20">
        <v>13</v>
      </c>
      <c r="D20">
        <v>130</v>
      </c>
      <c r="E20" t="s">
        <v>251</v>
      </c>
      <c r="F20" t="s">
        <v>265</v>
      </c>
      <c r="G20">
        <v>65</v>
      </c>
      <c r="H20" t="s">
        <v>141</v>
      </c>
      <c r="J20" t="s">
        <v>244</v>
      </c>
    </row>
    <row r="21" spans="1:10" x14ac:dyDescent="0.35">
      <c r="A21" t="s">
        <v>249</v>
      </c>
      <c r="B21" t="s">
        <v>279</v>
      </c>
      <c r="C21">
        <v>1</v>
      </c>
      <c r="D21">
        <v>10</v>
      </c>
      <c r="E21" t="s">
        <v>280</v>
      </c>
      <c r="F21" t="s">
        <v>252</v>
      </c>
      <c r="G21">
        <v>3</v>
      </c>
      <c r="H21" t="s">
        <v>141</v>
      </c>
      <c r="J21" t="s">
        <v>244</v>
      </c>
    </row>
    <row r="22" spans="1:10" x14ac:dyDescent="0.35">
      <c r="A22" s="2">
        <v>46115</v>
      </c>
      <c r="B22" t="s">
        <v>284</v>
      </c>
      <c r="C22">
        <v>54.5</v>
      </c>
      <c r="D22">
        <v>1090</v>
      </c>
      <c r="E22" t="s">
        <v>283</v>
      </c>
      <c r="G22">
        <v>55</v>
      </c>
      <c r="I22" t="s">
        <v>712</v>
      </c>
      <c r="J22" t="s">
        <v>713</v>
      </c>
    </row>
    <row r="23" spans="1:10" x14ac:dyDescent="0.35">
      <c r="A23" s="2">
        <v>46118</v>
      </c>
      <c r="C23">
        <v>45</v>
      </c>
      <c r="D23">
        <v>900</v>
      </c>
      <c r="E23" t="s">
        <v>283</v>
      </c>
      <c r="G23">
        <v>0</v>
      </c>
      <c r="I23" t="s">
        <v>714</v>
      </c>
      <c r="J23" t="s">
        <v>713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topLeftCell="B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6" width="14" customWidth="1"/>
    <col min="7" max="7" width="17" customWidth="1"/>
  </cols>
  <sheetData>
    <row r="1" spans="1:7" x14ac:dyDescent="0.35">
      <c r="A1" s="1" t="s">
        <v>285</v>
      </c>
      <c r="B1" s="1" t="s">
        <v>130</v>
      </c>
      <c r="C1" s="1" t="s">
        <v>1</v>
      </c>
      <c r="D1" s="1" t="s">
        <v>247</v>
      </c>
      <c r="E1" s="1" t="s">
        <v>53</v>
      </c>
      <c r="F1" s="1" t="s">
        <v>286</v>
      </c>
      <c r="G1" s="1" t="s">
        <v>16</v>
      </c>
    </row>
    <row r="2" spans="1:7" x14ac:dyDescent="0.35">
      <c r="A2">
        <v>3</v>
      </c>
      <c r="B2" t="s">
        <v>149</v>
      </c>
      <c r="C2" t="s">
        <v>98</v>
      </c>
      <c r="D2">
        <v>1002.75</v>
      </c>
      <c r="E2" t="s">
        <v>93</v>
      </c>
      <c r="F2" t="s">
        <v>287</v>
      </c>
    </row>
    <row r="3" spans="1:7" x14ac:dyDescent="0.35">
      <c r="A3">
        <v>4</v>
      </c>
      <c r="B3" t="s">
        <v>149</v>
      </c>
      <c r="C3" t="s">
        <v>288</v>
      </c>
      <c r="D3">
        <v>281.60000000000002</v>
      </c>
      <c r="E3">
        <v>30</v>
      </c>
      <c r="F3" t="s">
        <v>287</v>
      </c>
    </row>
    <row r="4" spans="1:7" x14ac:dyDescent="0.35">
      <c r="A4">
        <v>7</v>
      </c>
      <c r="B4" t="s">
        <v>149</v>
      </c>
      <c r="C4" t="s">
        <v>288</v>
      </c>
      <c r="D4">
        <v>77.44</v>
      </c>
      <c r="E4">
        <v>35</v>
      </c>
      <c r="F4" t="s">
        <v>287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182D-4E4A-4E64-8E1F-8967748164E3}">
  <sheetPr>
    <tabColor rgb="FF8E7CC3"/>
  </sheetPr>
  <dimension ref="A1:V71"/>
  <sheetViews>
    <sheetView showGridLines="0" topLeftCell="A11" workbookViewId="0">
      <pane xSplit="1" ySplit="1" topLeftCell="B12" activePane="bottomRight" state="frozen"/>
      <selection activeCell="A11" sqref="A11"/>
      <selection pane="topRight" activeCell="B11" sqref="B11"/>
      <selection pane="bottomLeft" activeCell="A12" sqref="A12"/>
      <selection pane="bottomRight" activeCell="E35" sqref="E35"/>
    </sheetView>
  </sheetViews>
  <sheetFormatPr baseColWidth="10" defaultRowHeight="14.5" x14ac:dyDescent="0.35"/>
  <cols>
    <col min="1" max="1" width="16.08984375" bestFit="1" customWidth="1"/>
    <col min="2" max="2" width="10.08984375" bestFit="1" customWidth="1"/>
    <col min="3" max="3" width="15.6328125" bestFit="1" customWidth="1"/>
    <col min="4" max="4" width="14.08984375" bestFit="1" customWidth="1"/>
    <col min="5" max="5" width="11.36328125" bestFit="1" customWidth="1"/>
    <col min="6" max="6" width="13.54296875" bestFit="1" customWidth="1"/>
    <col min="7" max="7" width="10.36328125" bestFit="1" customWidth="1"/>
    <col min="8" max="8" width="20.54296875" bestFit="1" customWidth="1"/>
    <col min="9" max="10" width="21.08984375" bestFit="1" customWidth="1"/>
    <col min="11" max="11" width="25.26953125" bestFit="1" customWidth="1"/>
    <col min="12" max="12" width="22.81640625" bestFit="1" customWidth="1"/>
    <col min="13" max="13" width="22.36328125" bestFit="1" customWidth="1"/>
    <col min="14" max="14" width="24" bestFit="1" customWidth="1"/>
    <col min="15" max="15" width="26.08984375" bestFit="1" customWidth="1"/>
    <col min="16" max="16" width="20" bestFit="1" customWidth="1"/>
    <col min="17" max="17" width="22" bestFit="1" customWidth="1"/>
    <col min="18" max="18" width="20.36328125" bestFit="1" customWidth="1"/>
    <col min="19" max="19" width="21.7265625" bestFit="1" customWidth="1"/>
  </cols>
  <sheetData>
    <row r="1" spans="1:22" ht="21" x14ac:dyDescent="0.5">
      <c r="A1" s="63" t="s">
        <v>777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5"/>
      <c r="U1" s="65"/>
      <c r="V1" s="65"/>
    </row>
    <row r="2" spans="1:22" x14ac:dyDescent="0.35">
      <c r="A2" s="66" t="s">
        <v>778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5"/>
      <c r="U2" s="65"/>
      <c r="V2" s="65"/>
    </row>
    <row r="4" spans="1:22" x14ac:dyDescent="0.35">
      <c r="A4" s="48" t="s">
        <v>779</v>
      </c>
      <c r="B4" s="48"/>
      <c r="C4" s="48"/>
      <c r="D4" s="48"/>
      <c r="E4" s="48"/>
      <c r="F4" s="48"/>
      <c r="H4" s="48" t="s">
        <v>788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22" x14ac:dyDescent="0.35">
      <c r="A5" s="49" t="s">
        <v>780</v>
      </c>
      <c r="B5" s="49" t="s">
        <v>781</v>
      </c>
      <c r="C5" s="49" t="s">
        <v>782</v>
      </c>
      <c r="D5" s="49" t="s">
        <v>783</v>
      </c>
      <c r="E5" s="49" t="s">
        <v>784</v>
      </c>
      <c r="F5" s="49" t="s">
        <v>785</v>
      </c>
      <c r="H5" s="49" t="s">
        <v>502</v>
      </c>
      <c r="I5" s="49" t="s">
        <v>789</v>
      </c>
      <c r="J5" s="49" t="s">
        <v>790</v>
      </c>
      <c r="K5" s="49" t="s">
        <v>780</v>
      </c>
      <c r="L5" s="49" t="s">
        <v>791</v>
      </c>
      <c r="M5" s="49" t="s">
        <v>792</v>
      </c>
      <c r="N5" s="49" t="s">
        <v>782</v>
      </c>
      <c r="O5" s="49" t="s">
        <v>793</v>
      </c>
      <c r="P5" s="49" t="s">
        <v>794</v>
      </c>
      <c r="Q5" s="49" t="s">
        <v>795</v>
      </c>
      <c r="R5" s="49" t="s">
        <v>796</v>
      </c>
      <c r="S5" s="49" t="s">
        <v>797</v>
      </c>
      <c r="T5" s="49" t="s">
        <v>798</v>
      </c>
    </row>
    <row r="6" spans="1:22" x14ac:dyDescent="0.35">
      <c r="A6" t="s">
        <v>786</v>
      </c>
      <c r="B6" s="52">
        <f>COUNTIF(tbl_rendimiento_procesadoras[procesadora],A6)</f>
        <v>0</v>
      </c>
      <c r="C6" s="52">
        <f>SUMIF(tbl_rendimiento_procesadoras[procesadora],A6,tbl_rendimiento_procesadoras[tallos_procesados])</f>
        <v>0</v>
      </c>
      <c r="D6" s="52">
        <f>SUMIF(tbl_rendimiento_procesadoras[procesadora],A6,tbl_rendimiento_procesadoras[tiempo_minutos])</f>
        <v>0</v>
      </c>
      <c r="E6" s="52">
        <f>IF(D6&gt;0,C6/(D6/60),0)</f>
        <v>0</v>
      </c>
      <c r="F6" s="44" t="str">
        <f>IF(B6=0,"",_xlfn.MAXIFS(tbl_rendimiento_procesadoras[fecha],tbl_rendimiento_procesadoras[procesadora],A6))</f>
        <v/>
      </c>
      <c r="H6" t="s">
        <v>799</v>
      </c>
      <c r="I6" t="s">
        <v>800</v>
      </c>
      <c r="J6" t="s">
        <v>800</v>
      </c>
      <c r="K6" t="s">
        <v>801</v>
      </c>
      <c r="L6" t="s">
        <v>802</v>
      </c>
      <c r="M6" t="s">
        <v>803</v>
      </c>
      <c r="N6" t="s">
        <v>804</v>
      </c>
      <c r="O6" t="s">
        <v>805</v>
      </c>
      <c r="P6" t="s">
        <v>806</v>
      </c>
      <c r="Q6" t="s">
        <v>807</v>
      </c>
      <c r="R6" t="s">
        <v>808</v>
      </c>
      <c r="S6" t="s">
        <v>809</v>
      </c>
      <c r="T6" t="s">
        <v>810</v>
      </c>
    </row>
    <row r="7" spans="1:22" x14ac:dyDescent="0.35">
      <c r="A7" t="s">
        <v>787</v>
      </c>
      <c r="B7" s="52">
        <f>COUNTIF(tbl_rendimiento_procesadoras[procesadora],A7)</f>
        <v>0</v>
      </c>
      <c r="C7" s="52">
        <f>SUMIF(tbl_rendimiento_procesadoras[procesadora],A7,tbl_rendimiento_procesadoras[tallos_procesados])</f>
        <v>0</v>
      </c>
      <c r="D7" s="52">
        <f>SUMIF(tbl_rendimiento_procesadoras[procesadora],A7,tbl_rendimiento_procesadoras[tiempo_minutos])</f>
        <v>0</v>
      </c>
      <c r="E7" s="52">
        <f t="shared" ref="E7:E8" si="0">IF(D7&gt;0,C7/(D7/60),0)</f>
        <v>0</v>
      </c>
      <c r="F7" s="44" t="str">
        <f>IF(B7=0,"",_xlfn.MAXIFS(tbl_rendimiento_procesadoras[fecha],tbl_rendimiento_procesadoras[procesadora],A7))</f>
        <v/>
      </c>
    </row>
    <row r="8" spans="1:22" x14ac:dyDescent="0.35">
      <c r="A8" t="s">
        <v>298</v>
      </c>
      <c r="B8" s="52">
        <f>COUNTIF(tbl_rendimiento_procesadoras[procesadora],A8)</f>
        <v>0</v>
      </c>
      <c r="C8" s="52">
        <f>SUMIF(tbl_rendimiento_procesadoras[procesadora],A8,tbl_rendimiento_procesadoras[tallos_procesados])</f>
        <v>0</v>
      </c>
      <c r="D8" s="52">
        <f>SUMIF(tbl_rendimiento_procesadoras[procesadora],A8,tbl_rendimiento_procesadoras[tiempo_minutos])</f>
        <v>0</v>
      </c>
      <c r="E8" s="52">
        <f t="shared" si="0"/>
        <v>0</v>
      </c>
      <c r="F8" s="44" t="str">
        <f>IF(B8=0,"",_xlfn.MAXIFS(tbl_rendimiento_procesadoras[fecha],tbl_rendimiento_procesadoras[procesadora],A8))</f>
        <v/>
      </c>
    </row>
    <row r="11" spans="1:22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811</v>
      </c>
      <c r="G11" t="s">
        <v>7</v>
      </c>
      <c r="H11" t="s">
        <v>5</v>
      </c>
      <c r="I11" t="s">
        <v>6</v>
      </c>
      <c r="J11" t="s">
        <v>812</v>
      </c>
      <c r="K11" t="s">
        <v>813</v>
      </c>
      <c r="L11" t="s">
        <v>814</v>
      </c>
      <c r="M11" t="s">
        <v>815</v>
      </c>
      <c r="N11" t="s">
        <v>8</v>
      </c>
      <c r="O11" t="s">
        <v>296</v>
      </c>
      <c r="P11" t="s">
        <v>816</v>
      </c>
      <c r="Q11" t="s">
        <v>817</v>
      </c>
      <c r="R11" t="s">
        <v>16</v>
      </c>
      <c r="S11" t="s">
        <v>818</v>
      </c>
    </row>
    <row r="12" spans="1:22" x14ac:dyDescent="0.35">
      <c r="A12" s="51" t="str">
        <f t="shared" ref="A12:A43" si="1">IF($B12="","",ROW()-11)</f>
        <v/>
      </c>
      <c r="B12" s="44"/>
      <c r="C12" s="51" t="str">
        <f t="shared" ref="C12:C43" si="2">IF($B12="","",_xlfn.ISOWEEKNUM($B12))</f>
        <v/>
      </c>
      <c r="D12" t="str">
        <f t="shared" ref="D12:D43" si="3">IF($B12="","",CHOOSE(MONTH($B12),"Enero","Febrero","Marzo","Abril","Mayo","Junio","Julio","Agosto","Septiembre","Octubre","Noviembre","Diciembre"))</f>
        <v/>
      </c>
      <c r="E12" s="51" t="str">
        <f t="shared" ref="E12:E43" si="4">IF($B12="","",MONTH($B12))</f>
        <v/>
      </c>
      <c r="J12" s="51" t="str">
        <f>IF($B12="","",COUNTIFS($F$12:F12,F12,$C$12:C12,C12))</f>
        <v/>
      </c>
      <c r="K12" s="50">
        <v>8.3333333333333339</v>
      </c>
      <c r="L12" s="50">
        <v>0.51388888888888884</v>
      </c>
      <c r="M12" s="52"/>
      <c r="N12" s="52"/>
      <c r="O12" s="52"/>
      <c r="P12" s="52">
        <f t="shared" ref="P12:P43" si="5">IF($M12&gt;0,$N12/($M12/60),0)</f>
        <v>0</v>
      </c>
      <c r="Q12" s="52">
        <f t="shared" ref="Q12:Q43" si="6">IF($M12&gt;0,$O12/($M12/60),0)</f>
        <v>0</v>
      </c>
      <c r="S12" t="str">
        <f t="shared" ref="S12:S43" si="7">IF(COUNTA($B12,$F12,$G12,$M12,$N12)=0,"",IF(COUNTA($B12,$F12,$G12,$M12,$N12)=5,"OK","INCOMPLETO"))</f>
        <v/>
      </c>
    </row>
    <row r="13" spans="1:22" x14ac:dyDescent="0.35">
      <c r="A13" s="51" t="str">
        <f t="shared" si="1"/>
        <v/>
      </c>
      <c r="B13" s="44"/>
      <c r="C13" s="51" t="str">
        <f t="shared" si="2"/>
        <v/>
      </c>
      <c r="D13" t="str">
        <f t="shared" si="3"/>
        <v/>
      </c>
      <c r="E13" s="51" t="str">
        <f t="shared" si="4"/>
        <v/>
      </c>
      <c r="J13" s="51" t="str">
        <f>IF($B13="","",COUNTIFS($F$12:F13,F13,$C$12:C13,C13))</f>
        <v/>
      </c>
      <c r="K13" s="50"/>
      <c r="L13" s="50"/>
      <c r="M13" s="52"/>
      <c r="N13" s="52"/>
      <c r="O13" s="52"/>
      <c r="P13" s="52">
        <f t="shared" si="5"/>
        <v>0</v>
      </c>
      <c r="Q13" s="52">
        <f t="shared" si="6"/>
        <v>0</v>
      </c>
      <c r="S13" t="str">
        <f t="shared" si="7"/>
        <v/>
      </c>
    </row>
    <row r="14" spans="1:22" x14ac:dyDescent="0.35">
      <c r="A14" s="51" t="str">
        <f t="shared" si="1"/>
        <v/>
      </c>
      <c r="B14" s="44"/>
      <c r="C14" s="51" t="str">
        <f t="shared" si="2"/>
        <v/>
      </c>
      <c r="D14" t="str">
        <f t="shared" si="3"/>
        <v/>
      </c>
      <c r="E14" s="51" t="str">
        <f t="shared" si="4"/>
        <v/>
      </c>
      <c r="J14" s="51" t="str">
        <f>IF($B14="","",COUNTIFS($F$12:F14,F14,$C$12:C14,C14))</f>
        <v/>
      </c>
      <c r="K14" s="50"/>
      <c r="L14" s="50"/>
      <c r="M14" s="52"/>
      <c r="N14" s="52"/>
      <c r="O14" s="52"/>
      <c r="P14" s="52">
        <f t="shared" si="5"/>
        <v>0</v>
      </c>
      <c r="Q14" s="52">
        <f t="shared" si="6"/>
        <v>0</v>
      </c>
      <c r="S14" t="str">
        <f t="shared" si="7"/>
        <v/>
      </c>
    </row>
    <row r="15" spans="1:22" x14ac:dyDescent="0.35">
      <c r="A15" s="51" t="str">
        <f t="shared" si="1"/>
        <v/>
      </c>
      <c r="B15" s="44"/>
      <c r="C15" s="51" t="str">
        <f t="shared" si="2"/>
        <v/>
      </c>
      <c r="D15" t="str">
        <f t="shared" si="3"/>
        <v/>
      </c>
      <c r="E15" s="51" t="str">
        <f t="shared" si="4"/>
        <v/>
      </c>
      <c r="J15" s="51" t="str">
        <f>IF($B15="","",COUNTIFS($F$12:F15,F15,$C$12:C15,C15))</f>
        <v/>
      </c>
      <c r="K15" s="50"/>
      <c r="L15" s="50"/>
      <c r="M15" s="52"/>
      <c r="N15" s="52"/>
      <c r="O15" s="52"/>
      <c r="P15" s="52">
        <f t="shared" si="5"/>
        <v>0</v>
      </c>
      <c r="Q15" s="52">
        <f t="shared" si="6"/>
        <v>0</v>
      </c>
      <c r="S15" t="str">
        <f t="shared" si="7"/>
        <v/>
      </c>
    </row>
    <row r="16" spans="1:22" x14ac:dyDescent="0.35">
      <c r="A16" s="51" t="str">
        <f t="shared" si="1"/>
        <v/>
      </c>
      <c r="B16" s="44"/>
      <c r="C16" s="51" t="str">
        <f t="shared" si="2"/>
        <v/>
      </c>
      <c r="D16" t="str">
        <f t="shared" si="3"/>
        <v/>
      </c>
      <c r="E16" s="51" t="str">
        <f t="shared" si="4"/>
        <v/>
      </c>
      <c r="J16" s="51" t="str">
        <f>IF($B16="","",COUNTIFS($F$12:F16,F16,$C$12:C16,C16))</f>
        <v/>
      </c>
      <c r="K16" s="50"/>
      <c r="L16" s="50"/>
      <c r="M16" s="52"/>
      <c r="N16" s="52"/>
      <c r="O16" s="52"/>
      <c r="P16" s="52">
        <f t="shared" si="5"/>
        <v>0</v>
      </c>
      <c r="Q16" s="52">
        <f t="shared" si="6"/>
        <v>0</v>
      </c>
      <c r="S16" t="str">
        <f t="shared" si="7"/>
        <v/>
      </c>
    </row>
    <row r="17" spans="1:19" x14ac:dyDescent="0.35">
      <c r="A17" s="51" t="str">
        <f t="shared" si="1"/>
        <v/>
      </c>
      <c r="B17" s="44"/>
      <c r="C17" s="51" t="str">
        <f t="shared" si="2"/>
        <v/>
      </c>
      <c r="D17" t="str">
        <f t="shared" si="3"/>
        <v/>
      </c>
      <c r="E17" s="51" t="str">
        <f t="shared" si="4"/>
        <v/>
      </c>
      <c r="J17" s="51" t="str">
        <f>IF($B17="","",COUNTIFS($F$12:F17,F17,$C$12:C17,C17))</f>
        <v/>
      </c>
      <c r="K17" s="50"/>
      <c r="L17" s="50"/>
      <c r="M17" s="52"/>
      <c r="N17" s="52"/>
      <c r="O17" s="52"/>
      <c r="P17" s="52">
        <f t="shared" si="5"/>
        <v>0</v>
      </c>
      <c r="Q17" s="52">
        <f t="shared" si="6"/>
        <v>0</v>
      </c>
      <c r="S17" t="str">
        <f t="shared" si="7"/>
        <v/>
      </c>
    </row>
    <row r="18" spans="1:19" x14ac:dyDescent="0.35">
      <c r="A18" s="51" t="str">
        <f t="shared" si="1"/>
        <v/>
      </c>
      <c r="B18" s="44"/>
      <c r="C18" s="51" t="str">
        <f t="shared" si="2"/>
        <v/>
      </c>
      <c r="D18" t="str">
        <f t="shared" si="3"/>
        <v/>
      </c>
      <c r="E18" s="51" t="str">
        <f t="shared" si="4"/>
        <v/>
      </c>
      <c r="J18" s="51" t="str">
        <f>IF($B18="","",COUNTIFS($F$12:F18,F18,$C$12:C18,C18))</f>
        <v/>
      </c>
      <c r="K18" s="50"/>
      <c r="L18" s="50"/>
      <c r="M18" s="52"/>
      <c r="N18" s="52"/>
      <c r="O18" s="52"/>
      <c r="P18" s="52">
        <f t="shared" si="5"/>
        <v>0</v>
      </c>
      <c r="Q18" s="52">
        <f t="shared" si="6"/>
        <v>0</v>
      </c>
      <c r="S18" t="str">
        <f t="shared" si="7"/>
        <v/>
      </c>
    </row>
    <row r="19" spans="1:19" x14ac:dyDescent="0.35">
      <c r="A19" s="51" t="str">
        <f t="shared" si="1"/>
        <v/>
      </c>
      <c r="B19" s="44"/>
      <c r="C19" s="51" t="str">
        <f t="shared" si="2"/>
        <v/>
      </c>
      <c r="D19" t="str">
        <f t="shared" si="3"/>
        <v/>
      </c>
      <c r="E19" s="51" t="str">
        <f t="shared" si="4"/>
        <v/>
      </c>
      <c r="J19" s="51" t="str">
        <f>IF($B19="","",COUNTIFS($F$12:F19,F19,$C$12:C19,C19))</f>
        <v/>
      </c>
      <c r="K19" s="50"/>
      <c r="L19" s="50"/>
      <c r="M19" s="52"/>
      <c r="N19" s="52"/>
      <c r="O19" s="52"/>
      <c r="P19" s="52">
        <f t="shared" si="5"/>
        <v>0</v>
      </c>
      <c r="Q19" s="52">
        <f t="shared" si="6"/>
        <v>0</v>
      </c>
      <c r="S19" t="str">
        <f t="shared" si="7"/>
        <v/>
      </c>
    </row>
    <row r="20" spans="1:19" x14ac:dyDescent="0.35">
      <c r="A20" s="51" t="str">
        <f t="shared" si="1"/>
        <v/>
      </c>
      <c r="B20" s="44"/>
      <c r="C20" s="51" t="str">
        <f t="shared" si="2"/>
        <v/>
      </c>
      <c r="D20" t="str">
        <f t="shared" si="3"/>
        <v/>
      </c>
      <c r="E20" s="51" t="str">
        <f t="shared" si="4"/>
        <v/>
      </c>
      <c r="J20" s="51" t="str">
        <f>IF($B20="","",COUNTIFS($F$12:F20,F20,$C$12:C20,C20))</f>
        <v/>
      </c>
      <c r="K20" s="50"/>
      <c r="L20" s="50"/>
      <c r="M20" s="52"/>
      <c r="N20" s="52"/>
      <c r="O20" s="52"/>
      <c r="P20" s="52">
        <f t="shared" si="5"/>
        <v>0</v>
      </c>
      <c r="Q20" s="52">
        <f t="shared" si="6"/>
        <v>0</v>
      </c>
      <c r="S20" t="str">
        <f t="shared" si="7"/>
        <v/>
      </c>
    </row>
    <row r="21" spans="1:19" x14ac:dyDescent="0.35">
      <c r="A21" s="51" t="str">
        <f t="shared" si="1"/>
        <v/>
      </c>
      <c r="B21" s="44"/>
      <c r="C21" s="51" t="str">
        <f t="shared" si="2"/>
        <v/>
      </c>
      <c r="D21" t="str">
        <f t="shared" si="3"/>
        <v/>
      </c>
      <c r="E21" s="51" t="str">
        <f t="shared" si="4"/>
        <v/>
      </c>
      <c r="J21" s="51" t="str">
        <f>IF($B21="","",COUNTIFS($F$12:F21,F21,$C$12:C21,C21))</f>
        <v/>
      </c>
      <c r="K21" s="50"/>
      <c r="L21" s="50"/>
      <c r="M21" s="52"/>
      <c r="N21" s="52"/>
      <c r="O21" s="52"/>
      <c r="P21" s="52">
        <f t="shared" si="5"/>
        <v>0</v>
      </c>
      <c r="Q21" s="52">
        <f t="shared" si="6"/>
        <v>0</v>
      </c>
      <c r="S21" t="str">
        <f t="shared" si="7"/>
        <v/>
      </c>
    </row>
    <row r="22" spans="1:19" x14ac:dyDescent="0.35">
      <c r="A22" s="51" t="str">
        <f t="shared" si="1"/>
        <v/>
      </c>
      <c r="B22" s="44"/>
      <c r="C22" s="51" t="str">
        <f t="shared" si="2"/>
        <v/>
      </c>
      <c r="D22" t="str">
        <f t="shared" si="3"/>
        <v/>
      </c>
      <c r="E22" s="51" t="str">
        <f t="shared" si="4"/>
        <v/>
      </c>
      <c r="J22" s="51" t="str">
        <f>IF($B22="","",COUNTIFS($F$12:F22,F22,$C$12:C22,C22))</f>
        <v/>
      </c>
      <c r="K22" s="50"/>
      <c r="L22" s="50"/>
      <c r="M22" s="52"/>
      <c r="N22" s="52"/>
      <c r="O22" s="52"/>
      <c r="P22" s="52">
        <f t="shared" si="5"/>
        <v>0</v>
      </c>
      <c r="Q22" s="52">
        <f t="shared" si="6"/>
        <v>0</v>
      </c>
      <c r="S22" t="str">
        <f t="shared" si="7"/>
        <v/>
      </c>
    </row>
    <row r="23" spans="1:19" x14ac:dyDescent="0.35">
      <c r="A23" s="51" t="str">
        <f t="shared" si="1"/>
        <v/>
      </c>
      <c r="B23" s="44"/>
      <c r="C23" s="51" t="str">
        <f t="shared" si="2"/>
        <v/>
      </c>
      <c r="D23" t="str">
        <f t="shared" si="3"/>
        <v/>
      </c>
      <c r="E23" s="51" t="str">
        <f t="shared" si="4"/>
        <v/>
      </c>
      <c r="J23" s="51" t="str">
        <f>IF($B23="","",COUNTIFS($F$12:F23,F23,$C$12:C23,C23))</f>
        <v/>
      </c>
      <c r="K23" s="50"/>
      <c r="L23" s="50"/>
      <c r="M23" s="52"/>
      <c r="N23" s="52"/>
      <c r="O23" s="52"/>
      <c r="P23" s="52">
        <f t="shared" si="5"/>
        <v>0</v>
      </c>
      <c r="Q23" s="52">
        <f t="shared" si="6"/>
        <v>0</v>
      </c>
      <c r="S23" t="str">
        <f t="shared" si="7"/>
        <v/>
      </c>
    </row>
    <row r="24" spans="1:19" x14ac:dyDescent="0.35">
      <c r="A24" s="51" t="str">
        <f t="shared" si="1"/>
        <v/>
      </c>
      <c r="B24" s="44"/>
      <c r="C24" s="51" t="str">
        <f t="shared" si="2"/>
        <v/>
      </c>
      <c r="D24" t="str">
        <f t="shared" si="3"/>
        <v/>
      </c>
      <c r="E24" s="51" t="str">
        <f t="shared" si="4"/>
        <v/>
      </c>
      <c r="J24" s="51" t="str">
        <f>IF($B24="","",COUNTIFS($F$12:F24,F24,$C$12:C24,C24))</f>
        <v/>
      </c>
      <c r="K24" s="50"/>
      <c r="L24" s="50"/>
      <c r="M24" s="52"/>
      <c r="N24" s="52"/>
      <c r="O24" s="52"/>
      <c r="P24" s="52">
        <f t="shared" si="5"/>
        <v>0</v>
      </c>
      <c r="Q24" s="52">
        <f t="shared" si="6"/>
        <v>0</v>
      </c>
      <c r="S24" t="str">
        <f t="shared" si="7"/>
        <v/>
      </c>
    </row>
    <row r="25" spans="1:19" x14ac:dyDescent="0.35">
      <c r="A25" s="51" t="str">
        <f t="shared" si="1"/>
        <v/>
      </c>
      <c r="B25" s="44"/>
      <c r="C25" s="51" t="str">
        <f t="shared" si="2"/>
        <v/>
      </c>
      <c r="D25" t="str">
        <f t="shared" si="3"/>
        <v/>
      </c>
      <c r="E25" s="51" t="str">
        <f t="shared" si="4"/>
        <v/>
      </c>
      <c r="J25" s="51" t="str">
        <f>IF($B25="","",COUNTIFS($F$12:F25,F25,$C$12:C25,C25))</f>
        <v/>
      </c>
      <c r="K25" s="50"/>
      <c r="L25" s="50"/>
      <c r="M25" s="52"/>
      <c r="N25" s="52"/>
      <c r="O25" s="52"/>
      <c r="P25" s="52">
        <f t="shared" si="5"/>
        <v>0</v>
      </c>
      <c r="Q25" s="52">
        <f t="shared" si="6"/>
        <v>0</v>
      </c>
      <c r="S25" t="str">
        <f t="shared" si="7"/>
        <v/>
      </c>
    </row>
    <row r="26" spans="1:19" x14ac:dyDescent="0.35">
      <c r="A26" s="51" t="str">
        <f t="shared" si="1"/>
        <v/>
      </c>
      <c r="B26" s="44"/>
      <c r="C26" s="51" t="str">
        <f t="shared" si="2"/>
        <v/>
      </c>
      <c r="D26" t="str">
        <f t="shared" si="3"/>
        <v/>
      </c>
      <c r="E26" s="51" t="str">
        <f t="shared" si="4"/>
        <v/>
      </c>
      <c r="J26" s="51" t="str">
        <f>IF($B26="","",COUNTIFS($F$12:F26,F26,$C$12:C26,C26))</f>
        <v/>
      </c>
      <c r="K26" s="50"/>
      <c r="L26" s="50"/>
      <c r="M26" s="52"/>
      <c r="N26" s="52"/>
      <c r="O26" s="52"/>
      <c r="P26" s="52">
        <f t="shared" si="5"/>
        <v>0</v>
      </c>
      <c r="Q26" s="52">
        <f t="shared" si="6"/>
        <v>0</v>
      </c>
      <c r="S26" t="str">
        <f t="shared" si="7"/>
        <v/>
      </c>
    </row>
    <row r="27" spans="1:19" x14ac:dyDescent="0.35">
      <c r="A27" s="51" t="str">
        <f t="shared" si="1"/>
        <v/>
      </c>
      <c r="B27" s="44"/>
      <c r="C27" s="51" t="str">
        <f t="shared" si="2"/>
        <v/>
      </c>
      <c r="D27" t="str">
        <f t="shared" si="3"/>
        <v/>
      </c>
      <c r="E27" s="51" t="str">
        <f t="shared" si="4"/>
        <v/>
      </c>
      <c r="J27" s="51" t="str">
        <f>IF($B27="","",COUNTIFS($F$12:F27,F27,$C$12:C27,C27))</f>
        <v/>
      </c>
      <c r="K27" s="50"/>
      <c r="L27" s="50"/>
      <c r="M27" s="52"/>
      <c r="N27" s="52"/>
      <c r="O27" s="52"/>
      <c r="P27" s="52">
        <f t="shared" si="5"/>
        <v>0</v>
      </c>
      <c r="Q27" s="52">
        <f t="shared" si="6"/>
        <v>0</v>
      </c>
      <c r="S27" t="str">
        <f t="shared" si="7"/>
        <v/>
      </c>
    </row>
    <row r="28" spans="1:19" x14ac:dyDescent="0.35">
      <c r="A28" s="51" t="str">
        <f t="shared" si="1"/>
        <v/>
      </c>
      <c r="B28" s="44"/>
      <c r="C28" s="51" t="str">
        <f t="shared" si="2"/>
        <v/>
      </c>
      <c r="D28" t="str">
        <f t="shared" si="3"/>
        <v/>
      </c>
      <c r="E28" s="51" t="str">
        <f t="shared" si="4"/>
        <v/>
      </c>
      <c r="J28" s="51" t="str">
        <f>IF($B28="","",COUNTIFS($F$12:F28,F28,$C$12:C28,C28))</f>
        <v/>
      </c>
      <c r="K28" s="50"/>
      <c r="L28" s="50"/>
      <c r="M28" s="52"/>
      <c r="N28" s="52"/>
      <c r="O28" s="52"/>
      <c r="P28" s="52">
        <f t="shared" si="5"/>
        <v>0</v>
      </c>
      <c r="Q28" s="52">
        <f t="shared" si="6"/>
        <v>0</v>
      </c>
      <c r="S28" t="str">
        <f t="shared" si="7"/>
        <v/>
      </c>
    </row>
    <row r="29" spans="1:19" x14ac:dyDescent="0.35">
      <c r="A29" s="51" t="str">
        <f t="shared" si="1"/>
        <v/>
      </c>
      <c r="B29" s="44"/>
      <c r="C29" s="51" t="str">
        <f t="shared" si="2"/>
        <v/>
      </c>
      <c r="D29" t="str">
        <f t="shared" si="3"/>
        <v/>
      </c>
      <c r="E29" s="51" t="str">
        <f t="shared" si="4"/>
        <v/>
      </c>
      <c r="J29" s="51" t="str">
        <f>IF($B29="","",COUNTIFS($F$12:F29,F29,$C$12:C29,C29))</f>
        <v/>
      </c>
      <c r="K29" s="50"/>
      <c r="L29" s="50"/>
      <c r="M29" s="52"/>
      <c r="N29" s="52"/>
      <c r="O29" s="52"/>
      <c r="P29" s="52">
        <f t="shared" si="5"/>
        <v>0</v>
      </c>
      <c r="Q29" s="52">
        <f t="shared" si="6"/>
        <v>0</v>
      </c>
      <c r="S29" t="str">
        <f t="shared" si="7"/>
        <v/>
      </c>
    </row>
    <row r="30" spans="1:19" x14ac:dyDescent="0.35">
      <c r="A30" s="51" t="str">
        <f t="shared" si="1"/>
        <v/>
      </c>
      <c r="B30" s="44"/>
      <c r="C30" s="51" t="str">
        <f t="shared" si="2"/>
        <v/>
      </c>
      <c r="D30" t="str">
        <f t="shared" si="3"/>
        <v/>
      </c>
      <c r="E30" s="51" t="str">
        <f t="shared" si="4"/>
        <v/>
      </c>
      <c r="J30" s="51" t="str">
        <f>IF($B30="","",COUNTIFS($F$12:F30,F30,$C$12:C30,C30))</f>
        <v/>
      </c>
      <c r="K30" s="50"/>
      <c r="L30" s="50"/>
      <c r="M30" s="52"/>
      <c r="N30" s="52"/>
      <c r="O30" s="52"/>
      <c r="P30" s="52">
        <f t="shared" si="5"/>
        <v>0</v>
      </c>
      <c r="Q30" s="52">
        <f t="shared" si="6"/>
        <v>0</v>
      </c>
      <c r="S30" t="str">
        <f t="shared" si="7"/>
        <v/>
      </c>
    </row>
    <row r="31" spans="1:19" x14ac:dyDescent="0.35">
      <c r="A31" s="51" t="str">
        <f t="shared" si="1"/>
        <v/>
      </c>
      <c r="B31" s="44"/>
      <c r="C31" s="51" t="str">
        <f t="shared" si="2"/>
        <v/>
      </c>
      <c r="D31" t="str">
        <f t="shared" si="3"/>
        <v/>
      </c>
      <c r="E31" s="51" t="str">
        <f t="shared" si="4"/>
        <v/>
      </c>
      <c r="J31" s="51" t="str">
        <f>IF($B31="","",COUNTIFS($F$12:F31,F31,$C$12:C31,C31))</f>
        <v/>
      </c>
      <c r="K31" s="50"/>
      <c r="L31" s="50"/>
      <c r="M31" s="52"/>
      <c r="N31" s="52"/>
      <c r="O31" s="52"/>
      <c r="P31" s="52">
        <f t="shared" si="5"/>
        <v>0</v>
      </c>
      <c r="Q31" s="52">
        <f t="shared" si="6"/>
        <v>0</v>
      </c>
      <c r="S31" t="str">
        <f t="shared" si="7"/>
        <v/>
      </c>
    </row>
    <row r="32" spans="1:19" x14ac:dyDescent="0.35">
      <c r="A32" s="51" t="str">
        <f t="shared" si="1"/>
        <v/>
      </c>
      <c r="B32" s="44"/>
      <c r="C32" s="51" t="str">
        <f t="shared" si="2"/>
        <v/>
      </c>
      <c r="D32" t="str">
        <f t="shared" si="3"/>
        <v/>
      </c>
      <c r="E32" s="51" t="str">
        <f t="shared" si="4"/>
        <v/>
      </c>
      <c r="J32" s="51" t="str">
        <f>IF($B32="","",COUNTIFS($F$12:F32,F32,$C$12:C32,C32))</f>
        <v/>
      </c>
      <c r="K32" s="50"/>
      <c r="L32" s="50"/>
      <c r="M32" s="52"/>
      <c r="N32" s="52"/>
      <c r="O32" s="52"/>
      <c r="P32" s="52">
        <f t="shared" si="5"/>
        <v>0</v>
      </c>
      <c r="Q32" s="52">
        <f t="shared" si="6"/>
        <v>0</v>
      </c>
      <c r="S32" t="str">
        <f t="shared" si="7"/>
        <v/>
      </c>
    </row>
    <row r="33" spans="1:19" x14ac:dyDescent="0.35">
      <c r="A33" s="51" t="str">
        <f t="shared" si="1"/>
        <v/>
      </c>
      <c r="B33" s="44"/>
      <c r="C33" s="51" t="str">
        <f t="shared" si="2"/>
        <v/>
      </c>
      <c r="D33" t="str">
        <f t="shared" si="3"/>
        <v/>
      </c>
      <c r="E33" s="51" t="str">
        <f t="shared" si="4"/>
        <v/>
      </c>
      <c r="J33" s="51" t="str">
        <f>IF($B33="","",COUNTIFS($F$12:F33,F33,$C$12:C33,C33))</f>
        <v/>
      </c>
      <c r="K33" s="50"/>
      <c r="L33" s="50"/>
      <c r="M33" s="52"/>
      <c r="N33" s="52"/>
      <c r="O33" s="52"/>
      <c r="P33" s="52">
        <f t="shared" si="5"/>
        <v>0</v>
      </c>
      <c r="Q33" s="52">
        <f t="shared" si="6"/>
        <v>0</v>
      </c>
      <c r="S33" t="str">
        <f t="shared" si="7"/>
        <v/>
      </c>
    </row>
    <row r="34" spans="1:19" x14ac:dyDescent="0.35">
      <c r="A34" s="51" t="str">
        <f t="shared" si="1"/>
        <v/>
      </c>
      <c r="B34" s="44"/>
      <c r="C34" s="51" t="str">
        <f t="shared" si="2"/>
        <v/>
      </c>
      <c r="D34" t="str">
        <f t="shared" si="3"/>
        <v/>
      </c>
      <c r="E34" s="51" t="str">
        <f t="shared" si="4"/>
        <v/>
      </c>
      <c r="J34" s="51" t="str">
        <f>IF($B34="","",COUNTIFS($F$12:F34,F34,$C$12:C34,C34))</f>
        <v/>
      </c>
      <c r="K34" s="50"/>
      <c r="L34" s="50"/>
      <c r="M34" s="52"/>
      <c r="N34" s="52"/>
      <c r="O34" s="52"/>
      <c r="P34" s="52">
        <f t="shared" si="5"/>
        <v>0</v>
      </c>
      <c r="Q34" s="52">
        <f t="shared" si="6"/>
        <v>0</v>
      </c>
      <c r="S34" t="str">
        <f t="shared" si="7"/>
        <v/>
      </c>
    </row>
    <row r="35" spans="1:19" x14ac:dyDescent="0.35">
      <c r="A35" s="51" t="str">
        <f t="shared" si="1"/>
        <v/>
      </c>
      <c r="B35" s="44"/>
      <c r="C35" s="51" t="str">
        <f t="shared" si="2"/>
        <v/>
      </c>
      <c r="D35" t="str">
        <f t="shared" si="3"/>
        <v/>
      </c>
      <c r="E35" s="51" t="str">
        <f t="shared" si="4"/>
        <v/>
      </c>
      <c r="J35" s="51" t="str">
        <f>IF($B35="","",COUNTIFS($F$12:F35,F35,$C$12:C35,C35))</f>
        <v/>
      </c>
      <c r="K35" s="50"/>
      <c r="L35" s="50"/>
      <c r="M35" s="52"/>
      <c r="N35" s="52"/>
      <c r="O35" s="52"/>
      <c r="P35" s="52">
        <f t="shared" si="5"/>
        <v>0</v>
      </c>
      <c r="Q35" s="52">
        <f t="shared" si="6"/>
        <v>0</v>
      </c>
      <c r="S35" t="str">
        <f t="shared" si="7"/>
        <v/>
      </c>
    </row>
    <row r="36" spans="1:19" x14ac:dyDescent="0.35">
      <c r="A36" s="51" t="str">
        <f t="shared" si="1"/>
        <v/>
      </c>
      <c r="B36" s="44"/>
      <c r="C36" s="51" t="str">
        <f t="shared" si="2"/>
        <v/>
      </c>
      <c r="D36" t="str">
        <f t="shared" si="3"/>
        <v/>
      </c>
      <c r="E36" s="51" t="str">
        <f t="shared" si="4"/>
        <v/>
      </c>
      <c r="J36" s="51" t="str">
        <f>IF($B36="","",COUNTIFS($F$12:F36,F36,$C$12:C36,C36))</f>
        <v/>
      </c>
      <c r="K36" s="50"/>
      <c r="L36" s="50"/>
      <c r="M36" s="52"/>
      <c r="N36" s="52"/>
      <c r="O36" s="52"/>
      <c r="P36" s="52">
        <f t="shared" si="5"/>
        <v>0</v>
      </c>
      <c r="Q36" s="52">
        <f t="shared" si="6"/>
        <v>0</v>
      </c>
      <c r="S36" t="str">
        <f t="shared" si="7"/>
        <v/>
      </c>
    </row>
    <row r="37" spans="1:19" x14ac:dyDescent="0.35">
      <c r="A37" s="51" t="str">
        <f t="shared" si="1"/>
        <v/>
      </c>
      <c r="B37" s="44"/>
      <c r="C37" s="51" t="str">
        <f t="shared" si="2"/>
        <v/>
      </c>
      <c r="D37" t="str">
        <f t="shared" si="3"/>
        <v/>
      </c>
      <c r="E37" s="51" t="str">
        <f t="shared" si="4"/>
        <v/>
      </c>
      <c r="J37" s="51" t="str">
        <f>IF($B37="","",COUNTIFS($F$12:F37,F37,$C$12:C37,C37))</f>
        <v/>
      </c>
      <c r="K37" s="50"/>
      <c r="L37" s="50"/>
      <c r="M37" s="52"/>
      <c r="N37" s="52"/>
      <c r="O37" s="52"/>
      <c r="P37" s="52">
        <f t="shared" si="5"/>
        <v>0</v>
      </c>
      <c r="Q37" s="52">
        <f t="shared" si="6"/>
        <v>0</v>
      </c>
      <c r="S37" t="str">
        <f t="shared" si="7"/>
        <v/>
      </c>
    </row>
    <row r="38" spans="1:19" x14ac:dyDescent="0.35">
      <c r="A38" s="51" t="str">
        <f t="shared" si="1"/>
        <v/>
      </c>
      <c r="B38" s="44"/>
      <c r="C38" s="51" t="str">
        <f t="shared" si="2"/>
        <v/>
      </c>
      <c r="D38" t="str">
        <f t="shared" si="3"/>
        <v/>
      </c>
      <c r="E38" s="51" t="str">
        <f t="shared" si="4"/>
        <v/>
      </c>
      <c r="J38" s="51" t="str">
        <f>IF($B38="","",COUNTIFS($F$12:F38,F38,$C$12:C38,C38))</f>
        <v/>
      </c>
      <c r="K38" s="50"/>
      <c r="L38" s="50"/>
      <c r="M38" s="52"/>
      <c r="N38" s="52"/>
      <c r="O38" s="52"/>
      <c r="P38" s="52">
        <f t="shared" si="5"/>
        <v>0</v>
      </c>
      <c r="Q38" s="52">
        <f t="shared" si="6"/>
        <v>0</v>
      </c>
      <c r="S38" t="str">
        <f t="shared" si="7"/>
        <v/>
      </c>
    </row>
    <row r="39" spans="1:19" x14ac:dyDescent="0.35">
      <c r="A39" s="51" t="str">
        <f t="shared" si="1"/>
        <v/>
      </c>
      <c r="B39" s="44"/>
      <c r="C39" s="51" t="str">
        <f t="shared" si="2"/>
        <v/>
      </c>
      <c r="D39" t="str">
        <f t="shared" si="3"/>
        <v/>
      </c>
      <c r="E39" s="51" t="str">
        <f t="shared" si="4"/>
        <v/>
      </c>
      <c r="J39" s="51" t="str">
        <f>IF($B39="","",COUNTIFS($F$12:F39,F39,$C$12:C39,C39))</f>
        <v/>
      </c>
      <c r="K39" s="50"/>
      <c r="L39" s="50"/>
      <c r="M39" s="52"/>
      <c r="N39" s="52"/>
      <c r="O39" s="52"/>
      <c r="P39" s="52">
        <f t="shared" si="5"/>
        <v>0</v>
      </c>
      <c r="Q39" s="52">
        <f t="shared" si="6"/>
        <v>0</v>
      </c>
      <c r="S39" t="str">
        <f t="shared" si="7"/>
        <v/>
      </c>
    </row>
    <row r="40" spans="1:19" x14ac:dyDescent="0.35">
      <c r="A40" s="51" t="str">
        <f t="shared" si="1"/>
        <v/>
      </c>
      <c r="B40" s="44"/>
      <c r="C40" s="51" t="str">
        <f t="shared" si="2"/>
        <v/>
      </c>
      <c r="D40" t="str">
        <f t="shared" si="3"/>
        <v/>
      </c>
      <c r="E40" s="51" t="str">
        <f t="shared" si="4"/>
        <v/>
      </c>
      <c r="J40" s="51" t="str">
        <f>IF($B40="","",COUNTIFS($F$12:F40,F40,$C$12:C40,C40))</f>
        <v/>
      </c>
      <c r="K40" s="50"/>
      <c r="L40" s="50"/>
      <c r="M40" s="52"/>
      <c r="N40" s="52"/>
      <c r="O40" s="52"/>
      <c r="P40" s="52">
        <f t="shared" si="5"/>
        <v>0</v>
      </c>
      <c r="Q40" s="52">
        <f t="shared" si="6"/>
        <v>0</v>
      </c>
      <c r="S40" t="str">
        <f t="shared" si="7"/>
        <v/>
      </c>
    </row>
    <row r="41" spans="1:19" x14ac:dyDescent="0.35">
      <c r="A41" s="51" t="str">
        <f t="shared" si="1"/>
        <v/>
      </c>
      <c r="B41" s="44"/>
      <c r="C41" s="51" t="str">
        <f t="shared" si="2"/>
        <v/>
      </c>
      <c r="D41" t="str">
        <f t="shared" si="3"/>
        <v/>
      </c>
      <c r="E41" s="51" t="str">
        <f t="shared" si="4"/>
        <v/>
      </c>
      <c r="J41" s="51" t="str">
        <f>IF($B41="","",COUNTIFS($F$12:F41,F41,$C$12:C41,C41))</f>
        <v/>
      </c>
      <c r="K41" s="50"/>
      <c r="L41" s="50"/>
      <c r="M41" s="52"/>
      <c r="N41" s="52"/>
      <c r="O41" s="52"/>
      <c r="P41" s="52">
        <f t="shared" si="5"/>
        <v>0</v>
      </c>
      <c r="Q41" s="52">
        <f t="shared" si="6"/>
        <v>0</v>
      </c>
      <c r="S41" t="str">
        <f t="shared" si="7"/>
        <v/>
      </c>
    </row>
    <row r="42" spans="1:19" x14ac:dyDescent="0.35">
      <c r="A42" s="51" t="str">
        <f t="shared" si="1"/>
        <v/>
      </c>
      <c r="B42" s="44"/>
      <c r="C42" s="51" t="str">
        <f t="shared" si="2"/>
        <v/>
      </c>
      <c r="D42" t="str">
        <f t="shared" si="3"/>
        <v/>
      </c>
      <c r="E42" s="51" t="str">
        <f t="shared" si="4"/>
        <v/>
      </c>
      <c r="J42" s="51" t="str">
        <f>IF($B42="","",COUNTIFS($F$12:F42,F42,$C$12:C42,C42))</f>
        <v/>
      </c>
      <c r="K42" s="50"/>
      <c r="L42" s="50"/>
      <c r="M42" s="52"/>
      <c r="N42" s="52"/>
      <c r="O42" s="52"/>
      <c r="P42" s="52">
        <f t="shared" si="5"/>
        <v>0</v>
      </c>
      <c r="Q42" s="52">
        <f t="shared" si="6"/>
        <v>0</v>
      </c>
      <c r="S42" t="str">
        <f t="shared" si="7"/>
        <v/>
      </c>
    </row>
    <row r="43" spans="1:19" x14ac:dyDescent="0.35">
      <c r="A43" s="51" t="str">
        <f t="shared" si="1"/>
        <v/>
      </c>
      <c r="B43" s="44"/>
      <c r="C43" s="51" t="str">
        <f t="shared" si="2"/>
        <v/>
      </c>
      <c r="D43" t="str">
        <f t="shared" si="3"/>
        <v/>
      </c>
      <c r="E43" s="51" t="str">
        <f t="shared" si="4"/>
        <v/>
      </c>
      <c r="J43" s="51" t="str">
        <f>IF($B43="","",COUNTIFS($F$12:F43,F43,$C$12:C43,C43))</f>
        <v/>
      </c>
      <c r="K43" s="50"/>
      <c r="L43" s="50"/>
      <c r="M43" s="52"/>
      <c r="N43" s="52"/>
      <c r="O43" s="52"/>
      <c r="P43" s="52">
        <f t="shared" si="5"/>
        <v>0</v>
      </c>
      <c r="Q43" s="52">
        <f t="shared" si="6"/>
        <v>0</v>
      </c>
      <c r="S43" t="str">
        <f t="shared" si="7"/>
        <v/>
      </c>
    </row>
    <row r="44" spans="1:19" x14ac:dyDescent="0.35">
      <c r="A44" s="51" t="str">
        <f t="shared" ref="A44:A71" si="8">IF($B44="","",ROW()-11)</f>
        <v/>
      </c>
      <c r="B44" s="44"/>
      <c r="C44" s="51" t="str">
        <f t="shared" ref="C44:C71" si="9">IF($B44="","",_xlfn.ISOWEEKNUM($B44))</f>
        <v/>
      </c>
      <c r="D44" t="str">
        <f t="shared" ref="D44:D71" si="10">IF($B44="","",CHOOSE(MONTH($B44),"Enero","Febrero","Marzo","Abril","Mayo","Junio","Julio","Agosto","Septiembre","Octubre","Noviembre","Diciembre"))</f>
        <v/>
      </c>
      <c r="E44" s="51" t="str">
        <f t="shared" ref="E44:E71" si="11">IF($B44="","",MONTH($B44))</f>
        <v/>
      </c>
      <c r="J44" s="51" t="str">
        <f>IF($B44="","",COUNTIFS($F$12:F44,F44,$C$12:C44,C44))</f>
        <v/>
      </c>
      <c r="K44" s="50"/>
      <c r="L44" s="50"/>
      <c r="M44" s="52"/>
      <c r="N44" s="52"/>
      <c r="O44" s="52"/>
      <c r="P44" s="52">
        <f t="shared" ref="P44:P71" si="12">IF($M44&gt;0,$N44/($M44/60),0)</f>
        <v>0</v>
      </c>
      <c r="Q44" s="52">
        <f t="shared" ref="Q44:Q71" si="13">IF($M44&gt;0,$O44/($M44/60),0)</f>
        <v>0</v>
      </c>
      <c r="S44" t="str">
        <f t="shared" ref="S44:S71" si="14">IF(COUNTA($B44,$F44,$G44,$M44,$N44)=0,"",IF(COUNTA($B44,$F44,$G44,$M44,$N44)=5,"OK","INCOMPLETO"))</f>
        <v/>
      </c>
    </row>
    <row r="45" spans="1:19" x14ac:dyDescent="0.35">
      <c r="A45" s="51" t="str">
        <f t="shared" si="8"/>
        <v/>
      </c>
      <c r="B45" s="44"/>
      <c r="C45" s="51" t="str">
        <f t="shared" si="9"/>
        <v/>
      </c>
      <c r="D45" t="str">
        <f t="shared" si="10"/>
        <v/>
      </c>
      <c r="E45" s="51" t="str">
        <f t="shared" si="11"/>
        <v/>
      </c>
      <c r="J45" s="51" t="str">
        <f>IF($B45="","",COUNTIFS($F$12:F45,F45,$C$12:C45,C45))</f>
        <v/>
      </c>
      <c r="K45" s="50"/>
      <c r="L45" s="50"/>
      <c r="M45" s="52"/>
      <c r="N45" s="52"/>
      <c r="O45" s="52"/>
      <c r="P45" s="52">
        <f t="shared" si="12"/>
        <v>0</v>
      </c>
      <c r="Q45" s="52">
        <f t="shared" si="13"/>
        <v>0</v>
      </c>
      <c r="S45" t="str">
        <f t="shared" si="14"/>
        <v/>
      </c>
    </row>
    <row r="46" spans="1:19" x14ac:dyDescent="0.35">
      <c r="A46" s="51" t="str">
        <f t="shared" si="8"/>
        <v/>
      </c>
      <c r="B46" s="44"/>
      <c r="C46" s="51" t="str">
        <f t="shared" si="9"/>
        <v/>
      </c>
      <c r="D46" t="str">
        <f t="shared" si="10"/>
        <v/>
      </c>
      <c r="E46" s="51" t="str">
        <f t="shared" si="11"/>
        <v/>
      </c>
      <c r="J46" s="51" t="str">
        <f>IF($B46="","",COUNTIFS($F$12:F46,F46,$C$12:C46,C46))</f>
        <v/>
      </c>
      <c r="K46" s="50"/>
      <c r="L46" s="50"/>
      <c r="M46" s="52"/>
      <c r="N46" s="52"/>
      <c r="O46" s="52"/>
      <c r="P46" s="52">
        <f t="shared" si="12"/>
        <v>0</v>
      </c>
      <c r="Q46" s="52">
        <f t="shared" si="13"/>
        <v>0</v>
      </c>
      <c r="S46" t="str">
        <f t="shared" si="14"/>
        <v/>
      </c>
    </row>
    <row r="47" spans="1:19" x14ac:dyDescent="0.35">
      <c r="A47" s="51" t="str">
        <f t="shared" si="8"/>
        <v/>
      </c>
      <c r="B47" s="44"/>
      <c r="C47" s="51" t="str">
        <f t="shared" si="9"/>
        <v/>
      </c>
      <c r="D47" t="str">
        <f t="shared" si="10"/>
        <v/>
      </c>
      <c r="E47" s="51" t="str">
        <f t="shared" si="11"/>
        <v/>
      </c>
      <c r="J47" s="51" t="str">
        <f>IF($B47="","",COUNTIFS($F$12:F47,F47,$C$12:C47,C47))</f>
        <v/>
      </c>
      <c r="K47" s="50"/>
      <c r="L47" s="50"/>
      <c r="M47" s="52"/>
      <c r="N47" s="52"/>
      <c r="O47" s="52"/>
      <c r="P47" s="52">
        <f t="shared" si="12"/>
        <v>0</v>
      </c>
      <c r="Q47" s="52">
        <f t="shared" si="13"/>
        <v>0</v>
      </c>
      <c r="S47" t="str">
        <f t="shared" si="14"/>
        <v/>
      </c>
    </row>
    <row r="48" spans="1:19" x14ac:dyDescent="0.35">
      <c r="A48" s="51" t="str">
        <f t="shared" si="8"/>
        <v/>
      </c>
      <c r="B48" s="44"/>
      <c r="C48" s="51" t="str">
        <f t="shared" si="9"/>
        <v/>
      </c>
      <c r="D48" t="str">
        <f t="shared" si="10"/>
        <v/>
      </c>
      <c r="E48" s="51" t="str">
        <f t="shared" si="11"/>
        <v/>
      </c>
      <c r="J48" s="51" t="str">
        <f>IF($B48="","",COUNTIFS($F$12:F48,F48,$C$12:C48,C48))</f>
        <v/>
      </c>
      <c r="K48" s="50"/>
      <c r="L48" s="50"/>
      <c r="M48" s="52"/>
      <c r="N48" s="52"/>
      <c r="O48" s="52"/>
      <c r="P48" s="52">
        <f t="shared" si="12"/>
        <v>0</v>
      </c>
      <c r="Q48" s="52">
        <f t="shared" si="13"/>
        <v>0</v>
      </c>
      <c r="S48" t="str">
        <f t="shared" si="14"/>
        <v/>
      </c>
    </row>
    <row r="49" spans="1:19" x14ac:dyDescent="0.35">
      <c r="A49" s="51" t="str">
        <f t="shared" si="8"/>
        <v/>
      </c>
      <c r="B49" s="44"/>
      <c r="C49" s="51" t="str">
        <f t="shared" si="9"/>
        <v/>
      </c>
      <c r="D49" t="str">
        <f t="shared" si="10"/>
        <v/>
      </c>
      <c r="E49" s="51" t="str">
        <f t="shared" si="11"/>
        <v/>
      </c>
      <c r="J49" s="51" t="str">
        <f>IF($B49="","",COUNTIFS($F$12:F49,F49,$C$12:C49,C49))</f>
        <v/>
      </c>
      <c r="K49" s="50"/>
      <c r="L49" s="50"/>
      <c r="M49" s="52"/>
      <c r="N49" s="52"/>
      <c r="O49" s="52"/>
      <c r="P49" s="52">
        <f t="shared" si="12"/>
        <v>0</v>
      </c>
      <c r="Q49" s="52">
        <f t="shared" si="13"/>
        <v>0</v>
      </c>
      <c r="S49" t="str">
        <f t="shared" si="14"/>
        <v/>
      </c>
    </row>
    <row r="50" spans="1:19" x14ac:dyDescent="0.35">
      <c r="A50" s="51" t="str">
        <f t="shared" si="8"/>
        <v/>
      </c>
      <c r="B50" s="44"/>
      <c r="C50" s="51" t="str">
        <f t="shared" si="9"/>
        <v/>
      </c>
      <c r="D50" t="str">
        <f t="shared" si="10"/>
        <v/>
      </c>
      <c r="E50" s="51" t="str">
        <f t="shared" si="11"/>
        <v/>
      </c>
      <c r="J50" s="51" t="str">
        <f>IF($B50="","",COUNTIFS($F$12:F50,F50,$C$12:C50,C50))</f>
        <v/>
      </c>
      <c r="K50" s="50"/>
      <c r="L50" s="50"/>
      <c r="M50" s="52"/>
      <c r="N50" s="52"/>
      <c r="O50" s="52"/>
      <c r="P50" s="52">
        <f t="shared" si="12"/>
        <v>0</v>
      </c>
      <c r="Q50" s="52">
        <f t="shared" si="13"/>
        <v>0</v>
      </c>
      <c r="S50" t="str">
        <f t="shared" si="14"/>
        <v/>
      </c>
    </row>
    <row r="51" spans="1:19" x14ac:dyDescent="0.35">
      <c r="A51" s="51" t="str">
        <f t="shared" si="8"/>
        <v/>
      </c>
      <c r="B51" s="44"/>
      <c r="C51" s="51" t="str">
        <f t="shared" si="9"/>
        <v/>
      </c>
      <c r="D51" t="str">
        <f t="shared" si="10"/>
        <v/>
      </c>
      <c r="E51" s="51" t="str">
        <f t="shared" si="11"/>
        <v/>
      </c>
      <c r="J51" s="51" t="str">
        <f>IF($B51="","",COUNTIFS($F$12:F51,F51,$C$12:C51,C51))</f>
        <v/>
      </c>
      <c r="K51" s="50"/>
      <c r="L51" s="50"/>
      <c r="M51" s="52"/>
      <c r="N51" s="52"/>
      <c r="O51" s="52"/>
      <c r="P51" s="52">
        <f t="shared" si="12"/>
        <v>0</v>
      </c>
      <c r="Q51" s="52">
        <f t="shared" si="13"/>
        <v>0</v>
      </c>
      <c r="S51" t="str">
        <f t="shared" si="14"/>
        <v/>
      </c>
    </row>
    <row r="52" spans="1:19" x14ac:dyDescent="0.35">
      <c r="A52" s="51" t="str">
        <f t="shared" si="8"/>
        <v/>
      </c>
      <c r="B52" s="44"/>
      <c r="C52" s="51" t="str">
        <f t="shared" si="9"/>
        <v/>
      </c>
      <c r="D52" t="str">
        <f t="shared" si="10"/>
        <v/>
      </c>
      <c r="E52" s="51" t="str">
        <f t="shared" si="11"/>
        <v/>
      </c>
      <c r="J52" s="51" t="str">
        <f>IF($B52="","",COUNTIFS($F$12:F52,F52,$C$12:C52,C52))</f>
        <v/>
      </c>
      <c r="K52" s="50"/>
      <c r="L52" s="50"/>
      <c r="M52" s="52"/>
      <c r="N52" s="52"/>
      <c r="O52" s="52"/>
      <c r="P52" s="52">
        <f t="shared" si="12"/>
        <v>0</v>
      </c>
      <c r="Q52" s="52">
        <f t="shared" si="13"/>
        <v>0</v>
      </c>
      <c r="S52" t="str">
        <f t="shared" si="14"/>
        <v/>
      </c>
    </row>
    <row r="53" spans="1:19" x14ac:dyDescent="0.35">
      <c r="A53" s="51" t="str">
        <f t="shared" si="8"/>
        <v/>
      </c>
      <c r="B53" s="44"/>
      <c r="C53" s="51" t="str">
        <f t="shared" si="9"/>
        <v/>
      </c>
      <c r="D53" t="str">
        <f t="shared" si="10"/>
        <v/>
      </c>
      <c r="E53" s="51" t="str">
        <f t="shared" si="11"/>
        <v/>
      </c>
      <c r="J53" s="51" t="str">
        <f>IF($B53="","",COUNTIFS($F$12:F53,F53,$C$12:C53,C53))</f>
        <v/>
      </c>
      <c r="K53" s="50"/>
      <c r="L53" s="50"/>
      <c r="M53" s="52"/>
      <c r="N53" s="52"/>
      <c r="O53" s="52"/>
      <c r="P53" s="52">
        <f t="shared" si="12"/>
        <v>0</v>
      </c>
      <c r="Q53" s="52">
        <f t="shared" si="13"/>
        <v>0</v>
      </c>
      <c r="S53" t="str">
        <f t="shared" si="14"/>
        <v/>
      </c>
    </row>
    <row r="54" spans="1:19" x14ac:dyDescent="0.35">
      <c r="A54" s="51" t="str">
        <f t="shared" si="8"/>
        <v/>
      </c>
      <c r="B54" s="44"/>
      <c r="C54" s="51" t="str">
        <f t="shared" si="9"/>
        <v/>
      </c>
      <c r="D54" t="str">
        <f t="shared" si="10"/>
        <v/>
      </c>
      <c r="E54" s="51" t="str">
        <f t="shared" si="11"/>
        <v/>
      </c>
      <c r="J54" s="51" t="str">
        <f>IF($B54="","",COUNTIFS($F$12:F54,F54,$C$12:C54,C54))</f>
        <v/>
      </c>
      <c r="K54" s="50"/>
      <c r="L54" s="50"/>
      <c r="M54" s="52"/>
      <c r="N54" s="52"/>
      <c r="O54" s="52"/>
      <c r="P54" s="52">
        <f t="shared" si="12"/>
        <v>0</v>
      </c>
      <c r="Q54" s="52">
        <f t="shared" si="13"/>
        <v>0</v>
      </c>
      <c r="S54" t="str">
        <f t="shared" si="14"/>
        <v/>
      </c>
    </row>
    <row r="55" spans="1:19" x14ac:dyDescent="0.35">
      <c r="A55" s="51" t="str">
        <f t="shared" si="8"/>
        <v/>
      </c>
      <c r="B55" s="44"/>
      <c r="C55" s="51" t="str">
        <f t="shared" si="9"/>
        <v/>
      </c>
      <c r="D55" t="str">
        <f t="shared" si="10"/>
        <v/>
      </c>
      <c r="E55" s="51" t="str">
        <f t="shared" si="11"/>
        <v/>
      </c>
      <c r="J55" s="51" t="str">
        <f>IF($B55="","",COUNTIFS($F$12:F55,F55,$C$12:C55,C55))</f>
        <v/>
      </c>
      <c r="K55" s="50"/>
      <c r="L55" s="50"/>
      <c r="M55" s="52"/>
      <c r="N55" s="52"/>
      <c r="O55" s="52"/>
      <c r="P55" s="52">
        <f t="shared" si="12"/>
        <v>0</v>
      </c>
      <c r="Q55" s="52">
        <f t="shared" si="13"/>
        <v>0</v>
      </c>
      <c r="S55" t="str">
        <f t="shared" si="14"/>
        <v/>
      </c>
    </row>
    <row r="56" spans="1:19" x14ac:dyDescent="0.35">
      <c r="A56" s="51" t="str">
        <f t="shared" si="8"/>
        <v/>
      </c>
      <c r="B56" s="44"/>
      <c r="C56" s="51" t="str">
        <f t="shared" si="9"/>
        <v/>
      </c>
      <c r="D56" t="str">
        <f t="shared" si="10"/>
        <v/>
      </c>
      <c r="E56" s="51" t="str">
        <f t="shared" si="11"/>
        <v/>
      </c>
      <c r="J56" s="51" t="str">
        <f>IF($B56="","",COUNTIFS($F$12:F56,F56,$C$12:C56,C56))</f>
        <v/>
      </c>
      <c r="K56" s="50"/>
      <c r="L56" s="50"/>
      <c r="M56" s="52"/>
      <c r="N56" s="52"/>
      <c r="O56" s="52"/>
      <c r="P56" s="52">
        <f t="shared" si="12"/>
        <v>0</v>
      </c>
      <c r="Q56" s="52">
        <f t="shared" si="13"/>
        <v>0</v>
      </c>
      <c r="S56" t="str">
        <f t="shared" si="14"/>
        <v/>
      </c>
    </row>
    <row r="57" spans="1:19" x14ac:dyDescent="0.35">
      <c r="A57" s="51" t="str">
        <f t="shared" si="8"/>
        <v/>
      </c>
      <c r="B57" s="44"/>
      <c r="C57" s="51" t="str">
        <f t="shared" si="9"/>
        <v/>
      </c>
      <c r="D57" t="str">
        <f t="shared" si="10"/>
        <v/>
      </c>
      <c r="E57" s="51" t="str">
        <f t="shared" si="11"/>
        <v/>
      </c>
      <c r="J57" s="51" t="str">
        <f>IF($B57="","",COUNTIFS($F$12:F57,F57,$C$12:C57,C57))</f>
        <v/>
      </c>
      <c r="K57" s="50"/>
      <c r="L57" s="50"/>
      <c r="M57" s="52"/>
      <c r="N57" s="52"/>
      <c r="O57" s="52"/>
      <c r="P57" s="52">
        <f t="shared" si="12"/>
        <v>0</v>
      </c>
      <c r="Q57" s="52">
        <f t="shared" si="13"/>
        <v>0</v>
      </c>
      <c r="S57" t="str">
        <f t="shared" si="14"/>
        <v/>
      </c>
    </row>
    <row r="58" spans="1:19" x14ac:dyDescent="0.35">
      <c r="A58" s="51" t="str">
        <f t="shared" si="8"/>
        <v/>
      </c>
      <c r="B58" s="44"/>
      <c r="C58" s="51" t="str">
        <f t="shared" si="9"/>
        <v/>
      </c>
      <c r="D58" t="str">
        <f t="shared" si="10"/>
        <v/>
      </c>
      <c r="E58" s="51" t="str">
        <f t="shared" si="11"/>
        <v/>
      </c>
      <c r="J58" s="51" t="str">
        <f>IF($B58="","",COUNTIFS($F$12:F58,F58,$C$12:C58,C58))</f>
        <v/>
      </c>
      <c r="K58" s="50"/>
      <c r="L58" s="50"/>
      <c r="M58" s="52"/>
      <c r="N58" s="52"/>
      <c r="O58" s="52"/>
      <c r="P58" s="52">
        <f t="shared" si="12"/>
        <v>0</v>
      </c>
      <c r="Q58" s="52">
        <f t="shared" si="13"/>
        <v>0</v>
      </c>
      <c r="S58" t="str">
        <f t="shared" si="14"/>
        <v/>
      </c>
    </row>
    <row r="59" spans="1:19" x14ac:dyDescent="0.35">
      <c r="A59" s="51" t="str">
        <f t="shared" si="8"/>
        <v/>
      </c>
      <c r="B59" s="44"/>
      <c r="C59" s="51" t="str">
        <f t="shared" si="9"/>
        <v/>
      </c>
      <c r="D59" t="str">
        <f t="shared" si="10"/>
        <v/>
      </c>
      <c r="E59" s="51" t="str">
        <f t="shared" si="11"/>
        <v/>
      </c>
      <c r="J59" s="51" t="str">
        <f>IF($B59="","",COUNTIFS($F$12:F59,F59,$C$12:C59,C59))</f>
        <v/>
      </c>
      <c r="K59" s="50"/>
      <c r="L59" s="50"/>
      <c r="M59" s="52"/>
      <c r="N59" s="52"/>
      <c r="O59" s="52"/>
      <c r="P59" s="52">
        <f t="shared" si="12"/>
        <v>0</v>
      </c>
      <c r="Q59" s="52">
        <f t="shared" si="13"/>
        <v>0</v>
      </c>
      <c r="S59" t="str">
        <f t="shared" si="14"/>
        <v/>
      </c>
    </row>
    <row r="60" spans="1:19" x14ac:dyDescent="0.35">
      <c r="A60" s="51" t="str">
        <f t="shared" si="8"/>
        <v/>
      </c>
      <c r="B60" s="44"/>
      <c r="C60" s="51" t="str">
        <f t="shared" si="9"/>
        <v/>
      </c>
      <c r="D60" t="str">
        <f t="shared" si="10"/>
        <v/>
      </c>
      <c r="E60" s="51" t="str">
        <f t="shared" si="11"/>
        <v/>
      </c>
      <c r="J60" s="51" t="str">
        <f>IF($B60="","",COUNTIFS($F$12:F60,F60,$C$12:C60,C60))</f>
        <v/>
      </c>
      <c r="K60" s="50"/>
      <c r="L60" s="50"/>
      <c r="M60" s="52"/>
      <c r="N60" s="52"/>
      <c r="O60" s="52"/>
      <c r="P60" s="52">
        <f t="shared" si="12"/>
        <v>0</v>
      </c>
      <c r="Q60" s="52">
        <f t="shared" si="13"/>
        <v>0</v>
      </c>
      <c r="S60" t="str">
        <f t="shared" si="14"/>
        <v/>
      </c>
    </row>
    <row r="61" spans="1:19" x14ac:dyDescent="0.35">
      <c r="A61" s="51" t="str">
        <f t="shared" si="8"/>
        <v/>
      </c>
      <c r="B61" s="44"/>
      <c r="C61" s="51" t="str">
        <f t="shared" si="9"/>
        <v/>
      </c>
      <c r="D61" t="str">
        <f t="shared" si="10"/>
        <v/>
      </c>
      <c r="E61" s="51" t="str">
        <f t="shared" si="11"/>
        <v/>
      </c>
      <c r="J61" s="51" t="str">
        <f>IF($B61="","",COUNTIFS($F$12:F61,F61,$C$12:C61,C61))</f>
        <v/>
      </c>
      <c r="K61" s="50"/>
      <c r="L61" s="50"/>
      <c r="M61" s="52"/>
      <c r="N61" s="52"/>
      <c r="O61" s="52"/>
      <c r="P61" s="52">
        <f t="shared" si="12"/>
        <v>0</v>
      </c>
      <c r="Q61" s="52">
        <f t="shared" si="13"/>
        <v>0</v>
      </c>
      <c r="S61" t="str">
        <f t="shared" si="14"/>
        <v/>
      </c>
    </row>
    <row r="62" spans="1:19" x14ac:dyDescent="0.35">
      <c r="A62" s="51" t="str">
        <f t="shared" si="8"/>
        <v/>
      </c>
      <c r="B62" s="44"/>
      <c r="C62" s="51" t="str">
        <f t="shared" si="9"/>
        <v/>
      </c>
      <c r="D62" t="str">
        <f t="shared" si="10"/>
        <v/>
      </c>
      <c r="E62" s="51" t="str">
        <f t="shared" si="11"/>
        <v/>
      </c>
      <c r="J62" s="51" t="str">
        <f>IF($B62="","",COUNTIFS($F$12:F62,F62,$C$12:C62,C62))</f>
        <v/>
      </c>
      <c r="K62" s="50"/>
      <c r="L62" s="50"/>
      <c r="M62" s="52"/>
      <c r="N62" s="52"/>
      <c r="O62" s="52"/>
      <c r="P62" s="52">
        <f t="shared" si="12"/>
        <v>0</v>
      </c>
      <c r="Q62" s="52">
        <f t="shared" si="13"/>
        <v>0</v>
      </c>
      <c r="S62" t="str">
        <f t="shared" si="14"/>
        <v/>
      </c>
    </row>
    <row r="63" spans="1:19" x14ac:dyDescent="0.35">
      <c r="A63" s="51" t="str">
        <f t="shared" si="8"/>
        <v/>
      </c>
      <c r="B63" s="44"/>
      <c r="C63" s="51" t="str">
        <f t="shared" si="9"/>
        <v/>
      </c>
      <c r="D63" t="str">
        <f t="shared" si="10"/>
        <v/>
      </c>
      <c r="E63" s="51" t="str">
        <f t="shared" si="11"/>
        <v/>
      </c>
      <c r="J63" s="51" t="str">
        <f>IF($B63="","",COUNTIFS($F$12:F63,F63,$C$12:C63,C63))</f>
        <v/>
      </c>
      <c r="K63" s="50"/>
      <c r="L63" s="50"/>
      <c r="M63" s="52"/>
      <c r="N63" s="52"/>
      <c r="O63" s="52"/>
      <c r="P63" s="52">
        <f t="shared" si="12"/>
        <v>0</v>
      </c>
      <c r="Q63" s="52">
        <f t="shared" si="13"/>
        <v>0</v>
      </c>
      <c r="S63" t="str">
        <f t="shared" si="14"/>
        <v/>
      </c>
    </row>
    <row r="64" spans="1:19" x14ac:dyDescent="0.35">
      <c r="A64" s="51" t="str">
        <f t="shared" si="8"/>
        <v/>
      </c>
      <c r="B64" s="44"/>
      <c r="C64" s="51" t="str">
        <f t="shared" si="9"/>
        <v/>
      </c>
      <c r="D64" t="str">
        <f t="shared" si="10"/>
        <v/>
      </c>
      <c r="E64" s="51" t="str">
        <f t="shared" si="11"/>
        <v/>
      </c>
      <c r="J64" s="51" t="str">
        <f>IF($B64="","",COUNTIFS($F$12:F64,F64,$C$12:C64,C64))</f>
        <v/>
      </c>
      <c r="K64" s="50"/>
      <c r="L64" s="50"/>
      <c r="M64" s="52"/>
      <c r="N64" s="52"/>
      <c r="O64" s="52"/>
      <c r="P64" s="52">
        <f t="shared" si="12"/>
        <v>0</v>
      </c>
      <c r="Q64" s="52">
        <f t="shared" si="13"/>
        <v>0</v>
      </c>
      <c r="S64" t="str">
        <f t="shared" si="14"/>
        <v/>
      </c>
    </row>
    <row r="65" spans="1:19" x14ac:dyDescent="0.35">
      <c r="A65" s="51" t="str">
        <f t="shared" si="8"/>
        <v/>
      </c>
      <c r="B65" s="44"/>
      <c r="C65" s="51" t="str">
        <f t="shared" si="9"/>
        <v/>
      </c>
      <c r="D65" t="str">
        <f t="shared" si="10"/>
        <v/>
      </c>
      <c r="E65" s="51" t="str">
        <f t="shared" si="11"/>
        <v/>
      </c>
      <c r="J65" s="51" t="str">
        <f>IF($B65="","",COUNTIFS($F$12:F65,F65,$C$12:C65,C65))</f>
        <v/>
      </c>
      <c r="K65" s="50"/>
      <c r="L65" s="50"/>
      <c r="M65" s="52"/>
      <c r="N65" s="52"/>
      <c r="O65" s="52"/>
      <c r="P65" s="52">
        <f t="shared" si="12"/>
        <v>0</v>
      </c>
      <c r="Q65" s="52">
        <f t="shared" si="13"/>
        <v>0</v>
      </c>
      <c r="S65" t="str">
        <f t="shared" si="14"/>
        <v/>
      </c>
    </row>
    <row r="66" spans="1:19" x14ac:dyDescent="0.35">
      <c r="A66" s="51" t="str">
        <f t="shared" si="8"/>
        <v/>
      </c>
      <c r="B66" s="44"/>
      <c r="C66" s="51" t="str">
        <f t="shared" si="9"/>
        <v/>
      </c>
      <c r="D66" t="str">
        <f t="shared" si="10"/>
        <v/>
      </c>
      <c r="E66" s="51" t="str">
        <f t="shared" si="11"/>
        <v/>
      </c>
      <c r="J66" s="51" t="str">
        <f>IF($B66="","",COUNTIFS($F$12:F66,F66,$C$12:C66,C66))</f>
        <v/>
      </c>
      <c r="K66" s="50"/>
      <c r="L66" s="50"/>
      <c r="M66" s="52"/>
      <c r="N66" s="52"/>
      <c r="O66" s="52"/>
      <c r="P66" s="52">
        <f t="shared" si="12"/>
        <v>0</v>
      </c>
      <c r="Q66" s="52">
        <f t="shared" si="13"/>
        <v>0</v>
      </c>
      <c r="S66" t="str">
        <f t="shared" si="14"/>
        <v/>
      </c>
    </row>
    <row r="67" spans="1:19" x14ac:dyDescent="0.35">
      <c r="A67" s="51" t="str">
        <f t="shared" si="8"/>
        <v/>
      </c>
      <c r="B67" s="44"/>
      <c r="C67" s="51" t="str">
        <f t="shared" si="9"/>
        <v/>
      </c>
      <c r="D67" t="str">
        <f t="shared" si="10"/>
        <v/>
      </c>
      <c r="E67" s="51" t="str">
        <f t="shared" si="11"/>
        <v/>
      </c>
      <c r="J67" s="51" t="str">
        <f>IF($B67="","",COUNTIFS($F$12:F67,F67,$C$12:C67,C67))</f>
        <v/>
      </c>
      <c r="K67" s="50"/>
      <c r="L67" s="50"/>
      <c r="M67" s="52"/>
      <c r="N67" s="52"/>
      <c r="O67" s="52"/>
      <c r="P67" s="52">
        <f t="shared" si="12"/>
        <v>0</v>
      </c>
      <c r="Q67" s="52">
        <f t="shared" si="13"/>
        <v>0</v>
      </c>
      <c r="S67" t="str">
        <f t="shared" si="14"/>
        <v/>
      </c>
    </row>
    <row r="68" spans="1:19" x14ac:dyDescent="0.35">
      <c r="A68" s="51" t="str">
        <f t="shared" si="8"/>
        <v/>
      </c>
      <c r="B68" s="44"/>
      <c r="C68" s="51" t="str">
        <f t="shared" si="9"/>
        <v/>
      </c>
      <c r="D68" t="str">
        <f t="shared" si="10"/>
        <v/>
      </c>
      <c r="E68" s="51" t="str">
        <f t="shared" si="11"/>
        <v/>
      </c>
      <c r="J68" s="51" t="str">
        <f>IF($B68="","",COUNTIFS($F$12:F68,F68,$C$12:C68,C68))</f>
        <v/>
      </c>
      <c r="K68" s="50"/>
      <c r="L68" s="50"/>
      <c r="M68" s="52"/>
      <c r="N68" s="52"/>
      <c r="O68" s="52"/>
      <c r="P68" s="52">
        <f t="shared" si="12"/>
        <v>0</v>
      </c>
      <c r="Q68" s="52">
        <f t="shared" si="13"/>
        <v>0</v>
      </c>
      <c r="S68" t="str">
        <f t="shared" si="14"/>
        <v/>
      </c>
    </row>
    <row r="69" spans="1:19" x14ac:dyDescent="0.35">
      <c r="A69" s="51" t="str">
        <f t="shared" si="8"/>
        <v/>
      </c>
      <c r="B69" s="44"/>
      <c r="C69" s="51" t="str">
        <f t="shared" si="9"/>
        <v/>
      </c>
      <c r="D69" t="str">
        <f t="shared" si="10"/>
        <v/>
      </c>
      <c r="E69" s="51" t="str">
        <f t="shared" si="11"/>
        <v/>
      </c>
      <c r="J69" s="51" t="str">
        <f>IF($B69="","",COUNTIFS($F$12:F69,F69,$C$12:C69,C69))</f>
        <v/>
      </c>
      <c r="K69" s="50"/>
      <c r="L69" s="50"/>
      <c r="M69" s="52"/>
      <c r="N69" s="52"/>
      <c r="O69" s="52"/>
      <c r="P69" s="52">
        <f t="shared" si="12"/>
        <v>0</v>
      </c>
      <c r="Q69" s="52">
        <f t="shared" si="13"/>
        <v>0</v>
      </c>
      <c r="S69" t="str">
        <f t="shared" si="14"/>
        <v/>
      </c>
    </row>
    <row r="70" spans="1:19" x14ac:dyDescent="0.35">
      <c r="A70" s="51" t="str">
        <f t="shared" si="8"/>
        <v/>
      </c>
      <c r="B70" s="44"/>
      <c r="C70" s="51" t="str">
        <f t="shared" si="9"/>
        <v/>
      </c>
      <c r="D70" t="str">
        <f t="shared" si="10"/>
        <v/>
      </c>
      <c r="E70" s="51" t="str">
        <f t="shared" si="11"/>
        <v/>
      </c>
      <c r="J70" s="51" t="str">
        <f>IF($B70="","",COUNTIFS($F$12:F70,F70,$C$12:C70,C70))</f>
        <v/>
      </c>
      <c r="K70" s="50"/>
      <c r="L70" s="50"/>
      <c r="M70" s="52"/>
      <c r="N70" s="52"/>
      <c r="O70" s="52"/>
      <c r="P70" s="52">
        <f t="shared" si="12"/>
        <v>0</v>
      </c>
      <c r="Q70" s="52">
        <f t="shared" si="13"/>
        <v>0</v>
      </c>
      <c r="S70" t="str">
        <f t="shared" si="14"/>
        <v/>
      </c>
    </row>
    <row r="71" spans="1:19" x14ac:dyDescent="0.35">
      <c r="A71" s="51" t="str">
        <f t="shared" si="8"/>
        <v/>
      </c>
      <c r="B71" s="44"/>
      <c r="C71" s="51" t="str">
        <f t="shared" si="9"/>
        <v/>
      </c>
      <c r="D71" t="str">
        <f t="shared" si="10"/>
        <v/>
      </c>
      <c r="E71" s="51" t="str">
        <f t="shared" si="11"/>
        <v/>
      </c>
      <c r="J71" s="51" t="str">
        <f>IF($B71="","",COUNTIFS($F$12:F71,F71,$C$12:C71,C71))</f>
        <v/>
      </c>
      <c r="K71" s="50"/>
      <c r="L71" s="50"/>
      <c r="M71" s="52"/>
      <c r="N71" s="52"/>
      <c r="O71" s="52"/>
      <c r="P71" s="52">
        <f t="shared" si="12"/>
        <v>0</v>
      </c>
      <c r="Q71" s="52">
        <f t="shared" si="13"/>
        <v>0</v>
      </c>
      <c r="S71" t="str">
        <f t="shared" si="14"/>
        <v/>
      </c>
    </row>
  </sheetData>
  <mergeCells count="2">
    <mergeCell ref="A1:V1"/>
    <mergeCell ref="A2:V2"/>
  </mergeCells>
  <dataValidations count="3">
    <dataValidation type="date" allowBlank="1" showInputMessage="1" showErrorMessage="1" sqref="B12:B71" xr:uid="{9D395CBD-E509-4B54-AA8E-678B3E2D26E8}">
      <formula1>43831</formula1>
      <formula2>49674</formula2>
    </dataValidation>
    <dataValidation type="list" allowBlank="1" showInputMessage="1" showErrorMessage="1" sqref="F12:F71" xr:uid="{6DED009A-D002-4DA6-AF5E-82287BAB1CFE}">
      <formula1>"Margarita,Angélica,Cristina"</formula1>
    </dataValidation>
    <dataValidation type="list" allowBlank="1" showInputMessage="1" showErrorMessage="1" sqref="G12:G71" xr:uid="{679B6EFA-4B91-4520-BBD5-DA745F63B6E8}">
      <formula1>"GREEN,PEACH,RED,OTRA"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8590-712C-47B4-BCAD-51D00355910C}">
  <sheetPr>
    <tabColor rgb="FF1D4ED8"/>
  </sheetPr>
  <dimension ref="A1:L43"/>
  <sheetViews>
    <sheetView showGridLines="0" topLeftCell="A17" workbookViewId="0"/>
  </sheetViews>
  <sheetFormatPr baseColWidth="10" defaultRowHeight="14.5" x14ac:dyDescent="0.35"/>
  <cols>
    <col min="1" max="1" width="30.54296875" customWidth="1"/>
    <col min="2" max="2" width="28" customWidth="1"/>
    <col min="3" max="3" width="30.54296875" customWidth="1"/>
    <col min="4" max="4" width="22.90625" customWidth="1"/>
    <col min="5" max="5" width="53.453125" customWidth="1"/>
    <col min="6" max="6" width="43.26953125" customWidth="1"/>
    <col min="7" max="7" width="22.90625" customWidth="1"/>
    <col min="8" max="8" width="53.453125" customWidth="1"/>
    <col min="9" max="10" width="30.54296875" customWidth="1"/>
    <col min="11" max="11" width="22.90625" customWidth="1"/>
    <col min="12" max="12" width="28" customWidth="1"/>
  </cols>
  <sheetData>
    <row r="1" spans="1:12" x14ac:dyDescent="0.35">
      <c r="A1" s="4" t="s">
        <v>299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5" t="s">
        <v>897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5">
      <c r="A4" s="27" t="s">
        <v>300</v>
      </c>
      <c r="B4" s="28" t="s">
        <v>301</v>
      </c>
      <c r="C4" s="28" t="s">
        <v>302</v>
      </c>
      <c r="D4" s="28" t="s">
        <v>303</v>
      </c>
      <c r="E4" s="28" t="s">
        <v>304</v>
      </c>
      <c r="F4" s="28" t="s">
        <v>305</v>
      </c>
      <c r="G4" s="28" t="s">
        <v>306</v>
      </c>
      <c r="H4" s="29" t="s">
        <v>307</v>
      </c>
      <c r="I4" s="3"/>
      <c r="J4" s="3"/>
      <c r="K4" s="3"/>
      <c r="L4" s="3"/>
    </row>
    <row r="5" spans="1:12" x14ac:dyDescent="0.35">
      <c r="A5" s="7" t="s">
        <v>308</v>
      </c>
      <c r="B5" s="8" t="s">
        <v>309</v>
      </c>
      <c r="C5" s="8" t="s">
        <v>310</v>
      </c>
      <c r="D5" s="8" t="s">
        <v>311</v>
      </c>
      <c r="E5" s="8" t="s">
        <v>756</v>
      </c>
      <c r="F5" s="8" t="s">
        <v>312</v>
      </c>
      <c r="G5" s="8" t="s">
        <v>313</v>
      </c>
      <c r="H5" s="6" t="s">
        <v>757</v>
      </c>
      <c r="I5" s="3"/>
      <c r="J5" s="3"/>
      <c r="K5" s="3"/>
      <c r="L5" s="3"/>
    </row>
    <row r="6" spans="1:12" x14ac:dyDescent="0.35">
      <c r="A6" s="7" t="s">
        <v>314</v>
      </c>
      <c r="B6" s="8" t="s">
        <v>315</v>
      </c>
      <c r="C6" s="8" t="s">
        <v>316</v>
      </c>
      <c r="D6" s="8" t="s">
        <v>311</v>
      </c>
      <c r="E6" s="8" t="s">
        <v>317</v>
      </c>
      <c r="F6" s="8" t="s">
        <v>318</v>
      </c>
      <c r="G6" s="8" t="s">
        <v>313</v>
      </c>
      <c r="H6" s="6" t="s">
        <v>319</v>
      </c>
      <c r="I6" s="3"/>
      <c r="J6" s="3"/>
      <c r="K6" s="3"/>
      <c r="L6" s="3"/>
    </row>
    <row r="7" spans="1:12" x14ac:dyDescent="0.35">
      <c r="A7" s="7" t="s">
        <v>320</v>
      </c>
      <c r="B7" s="8" t="s">
        <v>321</v>
      </c>
      <c r="C7" s="8" t="s">
        <v>322</v>
      </c>
      <c r="D7" s="8" t="s">
        <v>323</v>
      </c>
      <c r="E7" s="8" t="s">
        <v>324</v>
      </c>
      <c r="F7" s="8" t="s">
        <v>325</v>
      </c>
      <c r="G7" s="8" t="s">
        <v>326</v>
      </c>
      <c r="H7" s="6" t="s">
        <v>327</v>
      </c>
      <c r="I7" s="3"/>
      <c r="J7" s="3"/>
      <c r="K7" s="3"/>
      <c r="L7" s="3"/>
    </row>
    <row r="8" spans="1:12" x14ac:dyDescent="0.35">
      <c r="A8" s="7" t="s">
        <v>328</v>
      </c>
      <c r="B8" s="8" t="s">
        <v>329</v>
      </c>
      <c r="C8" s="8" t="s">
        <v>330</v>
      </c>
      <c r="D8" s="8" t="s">
        <v>331</v>
      </c>
      <c r="E8" s="8" t="s">
        <v>332</v>
      </c>
      <c r="F8" s="8" t="s">
        <v>333</v>
      </c>
      <c r="G8" s="8" t="s">
        <v>326</v>
      </c>
      <c r="H8" s="6" t="s">
        <v>334</v>
      </c>
      <c r="I8" s="3"/>
      <c r="J8" s="3"/>
      <c r="K8" s="3"/>
      <c r="L8" s="3"/>
    </row>
    <row r="9" spans="1:12" x14ac:dyDescent="0.35">
      <c r="A9" s="7" t="s">
        <v>335</v>
      </c>
      <c r="B9" s="8" t="s">
        <v>336</v>
      </c>
      <c r="C9" s="8" t="s">
        <v>337</v>
      </c>
      <c r="D9" s="8" t="s">
        <v>338</v>
      </c>
      <c r="E9" s="8" t="s">
        <v>339</v>
      </c>
      <c r="F9" s="8" t="s">
        <v>340</v>
      </c>
      <c r="G9" s="8" t="s">
        <v>341</v>
      </c>
      <c r="H9" s="6" t="s">
        <v>342</v>
      </c>
      <c r="I9" s="3"/>
      <c r="J9" s="3"/>
      <c r="K9" s="3"/>
      <c r="L9" s="3"/>
    </row>
    <row r="10" spans="1:12" x14ac:dyDescent="0.35">
      <c r="A10" s="7" t="s">
        <v>715</v>
      </c>
      <c r="B10" s="8" t="s">
        <v>244</v>
      </c>
      <c r="C10" s="8" t="s">
        <v>343</v>
      </c>
      <c r="D10" s="8" t="s">
        <v>311</v>
      </c>
      <c r="E10" s="8" t="s">
        <v>716</v>
      </c>
      <c r="F10" s="8" t="s">
        <v>717</v>
      </c>
      <c r="G10" s="8" t="s">
        <v>313</v>
      </c>
      <c r="H10" s="6" t="s">
        <v>718</v>
      </c>
      <c r="I10" s="3"/>
      <c r="J10" s="3"/>
      <c r="K10" s="3"/>
      <c r="L10" s="3"/>
    </row>
    <row r="11" spans="1:12" x14ac:dyDescent="0.35">
      <c r="A11" s="7" t="s">
        <v>732</v>
      </c>
      <c r="B11" s="8" t="s">
        <v>733</v>
      </c>
      <c r="C11" s="8" t="s">
        <v>734</v>
      </c>
      <c r="D11" s="8" t="s">
        <v>735</v>
      </c>
      <c r="E11" s="8" t="s">
        <v>736</v>
      </c>
      <c r="F11" s="8" t="s">
        <v>737</v>
      </c>
      <c r="G11" s="8" t="s">
        <v>720</v>
      </c>
      <c r="H11" s="6" t="s">
        <v>738</v>
      </c>
      <c r="I11" s="3"/>
      <c r="J11" s="3"/>
      <c r="K11" s="3"/>
      <c r="L11" s="3"/>
    </row>
    <row r="12" spans="1:12" x14ac:dyDescent="0.35">
      <c r="A12" s="7" t="s">
        <v>345</v>
      </c>
      <c r="B12" s="8" t="s">
        <v>346</v>
      </c>
      <c r="C12" s="8" t="s">
        <v>347</v>
      </c>
      <c r="D12" s="8" t="s">
        <v>348</v>
      </c>
      <c r="E12" s="8" t="s">
        <v>349</v>
      </c>
      <c r="F12" s="8" t="s">
        <v>350</v>
      </c>
      <c r="G12" s="8" t="s">
        <v>351</v>
      </c>
      <c r="H12" s="6" t="s">
        <v>352</v>
      </c>
      <c r="I12" s="3"/>
      <c r="J12" s="3"/>
      <c r="K12" s="3"/>
      <c r="L12" s="3"/>
    </row>
    <row r="13" spans="1:12" x14ac:dyDescent="0.35">
      <c r="A13" s="7" t="s">
        <v>839</v>
      </c>
      <c r="B13" s="8" t="s">
        <v>819</v>
      </c>
      <c r="C13" s="8" t="s">
        <v>820</v>
      </c>
      <c r="D13" s="8" t="s">
        <v>821</v>
      </c>
      <c r="E13" s="8" t="s">
        <v>822</v>
      </c>
      <c r="F13" s="8" t="s">
        <v>823</v>
      </c>
      <c r="G13" s="8" t="s">
        <v>824</v>
      </c>
      <c r="H13" s="6" t="s">
        <v>825</v>
      </c>
      <c r="I13" s="3"/>
      <c r="J13" s="3"/>
      <c r="K13" s="3"/>
      <c r="L13" s="3"/>
    </row>
    <row r="14" spans="1:12" x14ac:dyDescent="0.35">
      <c r="A14" s="30" t="s">
        <v>355</v>
      </c>
      <c r="B14" s="31" t="s">
        <v>750</v>
      </c>
      <c r="C14" s="31" t="s">
        <v>750</v>
      </c>
      <c r="D14" s="31" t="s">
        <v>357</v>
      </c>
      <c r="E14" s="31" t="s">
        <v>358</v>
      </c>
      <c r="F14" s="31" t="s">
        <v>753</v>
      </c>
      <c r="G14" s="31" t="s">
        <v>313</v>
      </c>
      <c r="H14" s="32" t="s">
        <v>754</v>
      </c>
      <c r="I14" s="3"/>
      <c r="J14" s="3"/>
      <c r="K14" s="3"/>
      <c r="L14" s="3"/>
    </row>
    <row r="15" spans="1:1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5">
      <c r="A17" s="33" t="s">
        <v>359</v>
      </c>
      <c r="B17" s="34" t="s">
        <v>360</v>
      </c>
      <c r="C17" s="34" t="s">
        <v>361</v>
      </c>
      <c r="D17" s="34" t="s">
        <v>362</v>
      </c>
      <c r="E17" s="35" t="s">
        <v>363</v>
      </c>
      <c r="F17" s="3"/>
      <c r="G17" s="9" t="s">
        <v>389</v>
      </c>
      <c r="H17" s="9" t="s">
        <v>390</v>
      </c>
      <c r="I17" s="9" t="s">
        <v>391</v>
      </c>
      <c r="J17" s="9" t="s">
        <v>392</v>
      </c>
      <c r="K17" s="9" t="s">
        <v>393</v>
      </c>
      <c r="L17" s="9" t="s">
        <v>394</v>
      </c>
    </row>
    <row r="18" spans="1:12" x14ac:dyDescent="0.35">
      <c r="A18" s="7" t="s">
        <v>364</v>
      </c>
      <c r="B18" s="8" t="s">
        <v>40</v>
      </c>
      <c r="C18" s="8" t="s">
        <v>365</v>
      </c>
      <c r="D18" s="8" t="s">
        <v>366</v>
      </c>
      <c r="E18" s="6" t="s">
        <v>367</v>
      </c>
      <c r="F18" s="3"/>
      <c r="G18" s="8" t="s">
        <v>395</v>
      </c>
      <c r="H18" s="8" t="s">
        <v>396</v>
      </c>
      <c r="I18" s="8" t="s">
        <v>397</v>
      </c>
      <c r="J18" s="8" t="s">
        <v>398</v>
      </c>
      <c r="K18" s="8" t="s">
        <v>399</v>
      </c>
      <c r="L18" s="8" t="s">
        <v>400</v>
      </c>
    </row>
    <row r="19" spans="1:12" x14ac:dyDescent="0.35">
      <c r="A19" s="7" t="s">
        <v>308</v>
      </c>
      <c r="B19" s="8" t="s">
        <v>0</v>
      </c>
      <c r="C19" s="8" t="s">
        <v>368</v>
      </c>
      <c r="D19" s="8" t="s">
        <v>369</v>
      </c>
      <c r="E19" s="6" t="s">
        <v>370</v>
      </c>
      <c r="F19" s="3"/>
      <c r="G19" s="8" t="s">
        <v>401</v>
      </c>
      <c r="H19" s="8" t="s">
        <v>402</v>
      </c>
      <c r="I19" s="8" t="s">
        <v>403</v>
      </c>
      <c r="J19" s="8" t="s">
        <v>404</v>
      </c>
      <c r="K19" s="8" t="s">
        <v>405</v>
      </c>
      <c r="L19" s="8" t="s">
        <v>406</v>
      </c>
    </row>
    <row r="20" spans="1:12" x14ac:dyDescent="0.35">
      <c r="A20" s="7" t="s">
        <v>371</v>
      </c>
      <c r="B20" s="8" t="s">
        <v>53</v>
      </c>
      <c r="C20" s="8" t="s">
        <v>372</v>
      </c>
      <c r="D20" s="8" t="s">
        <v>53</v>
      </c>
      <c r="E20" s="6" t="s">
        <v>373</v>
      </c>
      <c r="F20" s="3"/>
      <c r="G20" s="8" t="s">
        <v>407</v>
      </c>
      <c r="H20" s="8" t="s">
        <v>408</v>
      </c>
      <c r="I20" s="8" t="s">
        <v>409</v>
      </c>
      <c r="J20" s="8" t="s">
        <v>410</v>
      </c>
      <c r="K20" s="8" t="s">
        <v>411</v>
      </c>
      <c r="L20" s="8" t="s">
        <v>412</v>
      </c>
    </row>
    <row r="21" spans="1:12" x14ac:dyDescent="0.35">
      <c r="A21" s="7" t="s">
        <v>374</v>
      </c>
      <c r="B21" s="8" t="s">
        <v>285</v>
      </c>
      <c r="C21" s="8" t="s">
        <v>371</v>
      </c>
      <c r="D21" s="8" t="s">
        <v>53</v>
      </c>
      <c r="E21" s="6" t="s">
        <v>375</v>
      </c>
      <c r="F21" s="3"/>
      <c r="G21" s="8" t="s">
        <v>413</v>
      </c>
      <c r="H21" s="8" t="s">
        <v>414</v>
      </c>
      <c r="I21" s="8" t="s">
        <v>415</v>
      </c>
      <c r="J21" s="8" t="s">
        <v>416</v>
      </c>
      <c r="K21" s="8" t="s">
        <v>417</v>
      </c>
      <c r="L21" s="8" t="s">
        <v>418</v>
      </c>
    </row>
    <row r="22" spans="1:12" x14ac:dyDescent="0.35">
      <c r="A22" s="7" t="s">
        <v>335</v>
      </c>
      <c r="B22" s="8" t="s">
        <v>376</v>
      </c>
      <c r="C22" s="8" t="s">
        <v>377</v>
      </c>
      <c r="D22" s="8" t="s">
        <v>378</v>
      </c>
      <c r="E22" s="6" t="s">
        <v>379</v>
      </c>
      <c r="F22" s="3"/>
      <c r="G22" s="8" t="s">
        <v>419</v>
      </c>
      <c r="H22" s="8" t="s">
        <v>420</v>
      </c>
      <c r="I22" s="8" t="s">
        <v>421</v>
      </c>
      <c r="J22" s="8" t="s">
        <v>422</v>
      </c>
      <c r="K22" s="8" t="s">
        <v>423</v>
      </c>
      <c r="L22" s="8" t="s">
        <v>424</v>
      </c>
    </row>
    <row r="23" spans="1:12" x14ac:dyDescent="0.35">
      <c r="A23" s="7" t="s">
        <v>715</v>
      </c>
      <c r="B23" s="8" t="s">
        <v>721</v>
      </c>
      <c r="C23" s="8" t="s">
        <v>335</v>
      </c>
      <c r="D23" s="8" t="s">
        <v>722</v>
      </c>
      <c r="E23" s="6" t="s">
        <v>723</v>
      </c>
      <c r="F23" s="3"/>
      <c r="G23" s="3"/>
      <c r="H23" s="3"/>
      <c r="I23" s="3"/>
      <c r="J23" s="3"/>
      <c r="K23" s="3"/>
      <c r="L23" s="3"/>
    </row>
    <row r="24" spans="1:12" x14ac:dyDescent="0.35">
      <c r="A24" s="7" t="s">
        <v>380</v>
      </c>
      <c r="B24" s="8" t="s">
        <v>381</v>
      </c>
      <c r="C24" s="8" t="s">
        <v>308</v>
      </c>
      <c r="D24" s="8" t="s">
        <v>382</v>
      </c>
      <c r="E24" s="6" t="s">
        <v>383</v>
      </c>
      <c r="F24" s="3"/>
      <c r="G24" s="3"/>
      <c r="H24" s="3"/>
      <c r="I24" s="3"/>
      <c r="J24" s="3"/>
      <c r="K24" s="3"/>
      <c r="L24" s="3"/>
    </row>
    <row r="25" spans="1:12" x14ac:dyDescent="0.35">
      <c r="A25" s="30" t="s">
        <v>384</v>
      </c>
      <c r="B25" s="31" t="s">
        <v>385</v>
      </c>
      <c r="C25" s="31" t="s">
        <v>386</v>
      </c>
      <c r="D25" s="31" t="s">
        <v>387</v>
      </c>
      <c r="E25" s="32" t="s">
        <v>388</v>
      </c>
      <c r="F25" s="3"/>
      <c r="G25" s="3"/>
      <c r="H25" s="3"/>
      <c r="I25" s="3"/>
      <c r="J25" s="3"/>
      <c r="K25" s="3"/>
      <c r="L25" s="3"/>
    </row>
    <row r="26" spans="1:1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35">
      <c r="A28" s="9" t="s">
        <v>425</v>
      </c>
      <c r="B28" s="9" t="s">
        <v>426</v>
      </c>
      <c r="C28" s="9" t="s">
        <v>427</v>
      </c>
      <c r="D28" s="9" t="s">
        <v>428</v>
      </c>
      <c r="E28" s="9" t="s">
        <v>429</v>
      </c>
      <c r="F28" s="9" t="s">
        <v>430</v>
      </c>
      <c r="G28" s="3"/>
      <c r="H28" s="3"/>
      <c r="I28" s="3"/>
      <c r="J28" s="3"/>
      <c r="K28" s="3"/>
      <c r="L28" s="3"/>
    </row>
    <row r="29" spans="1:12" x14ac:dyDescent="0.35">
      <c r="A29" s="8" t="s">
        <v>431</v>
      </c>
      <c r="B29" s="8" t="s">
        <v>432</v>
      </c>
      <c r="C29" s="8" t="s">
        <v>433</v>
      </c>
      <c r="D29" s="8" t="s">
        <v>434</v>
      </c>
      <c r="E29" s="8" t="s">
        <v>435</v>
      </c>
      <c r="F29" s="8" t="s">
        <v>436</v>
      </c>
      <c r="G29" s="3"/>
      <c r="H29" s="3"/>
      <c r="I29" s="3"/>
      <c r="J29" s="3"/>
      <c r="K29" s="3"/>
      <c r="L29" s="3"/>
    </row>
    <row r="30" spans="1:12" x14ac:dyDescent="0.35">
      <c r="A30" s="8" t="s">
        <v>437</v>
      </c>
      <c r="B30" s="8" t="s">
        <v>438</v>
      </c>
      <c r="C30" s="8" t="s">
        <v>433</v>
      </c>
      <c r="D30" s="8" t="s">
        <v>434</v>
      </c>
      <c r="E30" s="8" t="s">
        <v>439</v>
      </c>
      <c r="F30" s="8" t="s">
        <v>436</v>
      </c>
      <c r="G30" s="3"/>
      <c r="H30" s="3"/>
      <c r="I30" s="3"/>
      <c r="J30" s="3"/>
      <c r="K30" s="3"/>
      <c r="L30" s="3"/>
    </row>
    <row r="31" spans="1:12" x14ac:dyDescent="0.35">
      <c r="A31" s="8" t="s">
        <v>440</v>
      </c>
      <c r="B31" s="8" t="s">
        <v>441</v>
      </c>
      <c r="C31" s="8" t="s">
        <v>433</v>
      </c>
      <c r="D31" s="8" t="s">
        <v>442</v>
      </c>
      <c r="E31" s="8" t="s">
        <v>443</v>
      </c>
      <c r="F31" s="8" t="s">
        <v>436</v>
      </c>
      <c r="G31" s="3"/>
      <c r="H31" s="3"/>
      <c r="I31" s="3"/>
      <c r="J31" s="3"/>
      <c r="K31" s="3"/>
      <c r="L31" s="3"/>
    </row>
    <row r="32" spans="1:12" x14ac:dyDescent="0.35">
      <c r="A32" s="8" t="s">
        <v>444</v>
      </c>
      <c r="B32" s="8" t="s">
        <v>445</v>
      </c>
      <c r="C32" s="8" t="s">
        <v>446</v>
      </c>
      <c r="D32" s="8" t="s">
        <v>447</v>
      </c>
      <c r="E32" s="8" t="s">
        <v>448</v>
      </c>
      <c r="F32" s="8" t="s">
        <v>449</v>
      </c>
      <c r="G32" s="3"/>
      <c r="H32" s="3"/>
      <c r="I32" s="3"/>
      <c r="J32" s="3"/>
      <c r="K32" s="3"/>
      <c r="L32" s="3"/>
    </row>
    <row r="33" spans="1:12" x14ac:dyDescent="0.35">
      <c r="A33" s="8" t="s">
        <v>450</v>
      </c>
      <c r="B33" s="8" t="s">
        <v>451</v>
      </c>
      <c r="C33" s="8" t="s">
        <v>433</v>
      </c>
      <c r="D33" s="8" t="s">
        <v>434</v>
      </c>
      <c r="E33" s="8" t="s">
        <v>452</v>
      </c>
      <c r="F33" s="8" t="s">
        <v>436</v>
      </c>
      <c r="G33" s="3"/>
      <c r="H33" s="3"/>
      <c r="I33" s="3"/>
      <c r="J33" s="3"/>
      <c r="K33" s="3"/>
      <c r="L33" s="3"/>
    </row>
    <row r="34" spans="1:12" x14ac:dyDescent="0.35">
      <c r="A34" s="8" t="s">
        <v>898</v>
      </c>
      <c r="B34" s="8" t="s">
        <v>899</v>
      </c>
      <c r="C34" s="8" t="s">
        <v>433</v>
      </c>
      <c r="D34" s="8" t="s">
        <v>434</v>
      </c>
      <c r="E34" s="8" t="s">
        <v>900</v>
      </c>
      <c r="F34" s="8" t="s">
        <v>454</v>
      </c>
      <c r="G34" s="3"/>
      <c r="H34" s="3"/>
      <c r="I34" s="3"/>
      <c r="J34" s="3"/>
      <c r="K34" s="3"/>
      <c r="L34" s="3"/>
    </row>
    <row r="35" spans="1:12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35">
      <c r="A37" s="9" t="s">
        <v>455</v>
      </c>
      <c r="B37" s="9" t="s">
        <v>456</v>
      </c>
      <c r="C37" s="9" t="s">
        <v>457</v>
      </c>
      <c r="D37" s="9" t="s">
        <v>458</v>
      </c>
      <c r="E37" s="9" t="s">
        <v>459</v>
      </c>
      <c r="F37" s="9" t="s">
        <v>427</v>
      </c>
      <c r="G37" s="3"/>
      <c r="H37" s="3"/>
      <c r="I37" s="3"/>
      <c r="J37" s="3"/>
      <c r="K37" s="3"/>
      <c r="L37" s="3"/>
    </row>
    <row r="38" spans="1:12" x14ac:dyDescent="0.35">
      <c r="A38" s="8" t="s">
        <v>460</v>
      </c>
      <c r="B38" s="8" t="s">
        <v>461</v>
      </c>
      <c r="C38" s="8" t="s">
        <v>308</v>
      </c>
      <c r="D38" s="8" t="s">
        <v>462</v>
      </c>
      <c r="E38" s="8" t="s">
        <v>463</v>
      </c>
      <c r="F38" s="8" t="s">
        <v>433</v>
      </c>
      <c r="G38" s="3"/>
      <c r="H38" s="3"/>
      <c r="I38" s="3"/>
      <c r="J38" s="3"/>
      <c r="K38" s="3"/>
      <c r="L38" s="3"/>
    </row>
    <row r="39" spans="1:12" x14ac:dyDescent="0.35">
      <c r="A39" s="8" t="s">
        <v>464</v>
      </c>
      <c r="B39" s="8" t="s">
        <v>465</v>
      </c>
      <c r="C39" s="8" t="s">
        <v>466</v>
      </c>
      <c r="D39" s="8" t="s">
        <v>467</v>
      </c>
      <c r="E39" s="8" t="s">
        <v>468</v>
      </c>
      <c r="F39" s="8" t="s">
        <v>433</v>
      </c>
      <c r="G39" s="3"/>
      <c r="H39" s="3"/>
      <c r="I39" s="3"/>
      <c r="J39" s="3"/>
      <c r="K39" s="3"/>
      <c r="L39" s="3"/>
    </row>
    <row r="40" spans="1:12" x14ac:dyDescent="0.35">
      <c r="A40" s="8" t="s">
        <v>469</v>
      </c>
      <c r="B40" s="8" t="s">
        <v>470</v>
      </c>
      <c r="C40" s="8" t="s">
        <v>471</v>
      </c>
      <c r="D40" s="8" t="s">
        <v>472</v>
      </c>
      <c r="E40" s="8" t="s">
        <v>473</v>
      </c>
      <c r="F40" s="8" t="s">
        <v>433</v>
      </c>
      <c r="G40" s="3"/>
      <c r="H40" s="3"/>
      <c r="I40" s="3"/>
      <c r="J40" s="3"/>
      <c r="K40" s="3"/>
      <c r="L40" s="3"/>
    </row>
    <row r="41" spans="1:12" x14ac:dyDescent="0.35">
      <c r="A41" s="8" t="s">
        <v>474</v>
      </c>
      <c r="B41" s="8" t="s">
        <v>475</v>
      </c>
      <c r="C41" s="8" t="s">
        <v>476</v>
      </c>
      <c r="D41" s="8" t="s">
        <v>477</v>
      </c>
      <c r="E41" s="8" t="s">
        <v>478</v>
      </c>
      <c r="F41" s="8" t="s">
        <v>433</v>
      </c>
      <c r="G41" s="3"/>
      <c r="H41" s="3"/>
      <c r="I41" s="3"/>
      <c r="J41" s="3"/>
      <c r="K41" s="3"/>
      <c r="L41" s="3"/>
    </row>
    <row r="42" spans="1:12" x14ac:dyDescent="0.35">
      <c r="A42" s="8" t="s">
        <v>479</v>
      </c>
      <c r="B42" s="8" t="s">
        <v>480</v>
      </c>
      <c r="C42" s="8" t="s">
        <v>442</v>
      </c>
      <c r="D42" s="8" t="s">
        <v>481</v>
      </c>
      <c r="E42" s="8" t="s">
        <v>482</v>
      </c>
      <c r="F42" s="8" t="s">
        <v>433</v>
      </c>
      <c r="G42" s="3"/>
      <c r="H42" s="3"/>
      <c r="I42" s="3"/>
      <c r="J42" s="3"/>
      <c r="K42" s="3"/>
      <c r="L42" s="3"/>
    </row>
    <row r="43" spans="1:12" x14ac:dyDescent="0.35">
      <c r="A43" s="8" t="s">
        <v>483</v>
      </c>
      <c r="B43" s="8" t="s">
        <v>484</v>
      </c>
      <c r="C43" s="8" t="s">
        <v>485</v>
      </c>
      <c r="D43" s="8" t="s">
        <v>486</v>
      </c>
      <c r="E43" s="8" t="s">
        <v>487</v>
      </c>
      <c r="F43" s="8" t="s">
        <v>446</v>
      </c>
      <c r="G43" s="3"/>
      <c r="H43" s="3"/>
      <c r="I43" s="3"/>
      <c r="J43" s="3"/>
      <c r="K43" s="3"/>
      <c r="L43" s="3"/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2977-968E-4774-AE18-5614F83FDB5E}">
  <sheetPr>
    <tabColor rgb="FF64748B"/>
  </sheetPr>
  <dimension ref="A1:J109"/>
  <sheetViews>
    <sheetView showGridLines="0" topLeftCell="A84" workbookViewId="0"/>
  </sheetViews>
  <sheetFormatPr baseColWidth="10" defaultRowHeight="14.5" x14ac:dyDescent="0.35"/>
  <cols>
    <col min="1" max="2" width="33.08984375" customWidth="1"/>
    <col min="3" max="3" width="22.90625" customWidth="1"/>
    <col min="4" max="4" width="17.81640625" customWidth="1"/>
    <col min="5" max="5" width="53.453125" customWidth="1"/>
    <col min="6" max="6" width="40.7265625" customWidth="1"/>
    <col min="7" max="7" width="30.54296875" customWidth="1"/>
    <col min="8" max="8" width="35.6328125" customWidth="1"/>
    <col min="9" max="10" width="17.81640625" customWidth="1"/>
  </cols>
  <sheetData>
    <row r="1" spans="1:10" x14ac:dyDescent="0.35">
      <c r="A1" s="10" t="s">
        <v>488</v>
      </c>
      <c r="B1" s="10"/>
      <c r="C1" s="10"/>
      <c r="D1" s="10"/>
      <c r="E1" s="10"/>
      <c r="F1" s="10"/>
      <c r="G1" s="10"/>
      <c r="H1" s="10"/>
      <c r="I1" s="11"/>
      <c r="J1" s="11"/>
    </row>
    <row r="2" spans="1:10" x14ac:dyDescent="0.35">
      <c r="A2" s="12" t="s">
        <v>489</v>
      </c>
      <c r="B2" s="12"/>
      <c r="C2" s="12"/>
      <c r="D2" s="12"/>
      <c r="E2" s="12"/>
      <c r="F2" s="12"/>
      <c r="G2" s="12"/>
      <c r="H2" s="12"/>
      <c r="I2" s="13"/>
      <c r="J2" s="13"/>
    </row>
    <row r="3" spans="1:10" x14ac:dyDescent="0.35">
      <c r="A3" s="27" t="s">
        <v>490</v>
      </c>
      <c r="B3" s="28" t="s">
        <v>491</v>
      </c>
      <c r="C3" s="28" t="s">
        <v>492</v>
      </c>
      <c r="D3" s="28" t="s">
        <v>493</v>
      </c>
      <c r="E3" s="28" t="s">
        <v>456</v>
      </c>
      <c r="F3" s="28" t="s">
        <v>494</v>
      </c>
      <c r="G3" s="28" t="s">
        <v>495</v>
      </c>
      <c r="H3" s="29" t="s">
        <v>496</v>
      </c>
    </row>
    <row r="4" spans="1:10" x14ac:dyDescent="0.35">
      <c r="A4" s="7" t="s">
        <v>310</v>
      </c>
      <c r="B4" s="8" t="s">
        <v>0</v>
      </c>
      <c r="C4" s="8" t="s">
        <v>497</v>
      </c>
      <c r="D4" s="8" t="s">
        <v>498</v>
      </c>
      <c r="E4" s="8" t="s">
        <v>499</v>
      </c>
      <c r="F4" s="8" t="s">
        <v>500</v>
      </c>
      <c r="G4" s="8">
        <v>1</v>
      </c>
      <c r="H4" s="6" t="s">
        <v>501</v>
      </c>
    </row>
    <row r="5" spans="1:10" x14ac:dyDescent="0.35">
      <c r="A5" s="7" t="s">
        <v>310</v>
      </c>
      <c r="B5" s="8" t="s">
        <v>1</v>
      </c>
      <c r="C5" s="8" t="s">
        <v>502</v>
      </c>
      <c r="D5" s="8" t="s">
        <v>498</v>
      </c>
      <c r="E5" s="8" t="s">
        <v>503</v>
      </c>
      <c r="F5" s="8" t="s">
        <v>504</v>
      </c>
      <c r="G5" s="14">
        <v>46115</v>
      </c>
      <c r="H5" s="6" t="s">
        <v>505</v>
      </c>
    </row>
    <row r="6" spans="1:10" x14ac:dyDescent="0.35">
      <c r="A6" s="7" t="s">
        <v>310</v>
      </c>
      <c r="B6" s="8" t="s">
        <v>2</v>
      </c>
      <c r="C6" s="8" t="s">
        <v>506</v>
      </c>
      <c r="D6" s="8" t="s">
        <v>498</v>
      </c>
      <c r="E6" s="8" t="s">
        <v>773</v>
      </c>
      <c r="F6" s="15" t="e" cm="1">
        <f t="array" ref="F6">_xlfn.ISOWEEKNUM(fecha)</f>
        <v>#NAME?</v>
      </c>
      <c r="G6" s="8">
        <v>14</v>
      </c>
      <c r="H6" s="6" t="s">
        <v>507</v>
      </c>
    </row>
    <row r="7" spans="1:10" x14ac:dyDescent="0.35">
      <c r="A7" s="7" t="s">
        <v>310</v>
      </c>
      <c r="B7" s="8" t="s">
        <v>3</v>
      </c>
      <c r="C7" s="8" t="s">
        <v>508</v>
      </c>
      <c r="D7" s="8" t="s">
        <v>498</v>
      </c>
      <c r="E7" s="8" t="s">
        <v>774</v>
      </c>
      <c r="F7" s="8" t="s">
        <v>775</v>
      </c>
      <c r="G7" s="8" t="s">
        <v>22</v>
      </c>
      <c r="H7" s="6" t="s">
        <v>510</v>
      </c>
    </row>
    <row r="8" spans="1:10" x14ac:dyDescent="0.35">
      <c r="A8" s="7" t="s">
        <v>310</v>
      </c>
      <c r="B8" s="8" t="s">
        <v>4</v>
      </c>
      <c r="C8" s="8" t="s">
        <v>506</v>
      </c>
      <c r="D8" s="8" t="s">
        <v>498</v>
      </c>
      <c r="E8" s="8" t="s">
        <v>776</v>
      </c>
      <c r="F8" s="16" t="e" cm="1">
        <f t="array" ref="F8">MONTH(fecha)</f>
        <v>#NAME?</v>
      </c>
      <c r="G8" s="8">
        <v>4</v>
      </c>
      <c r="H8" s="6" t="s">
        <v>511</v>
      </c>
    </row>
    <row r="9" spans="1:10" x14ac:dyDescent="0.35">
      <c r="A9" s="7" t="s">
        <v>310</v>
      </c>
      <c r="B9" s="8" t="s">
        <v>5</v>
      </c>
      <c r="C9" s="8" t="s">
        <v>512</v>
      </c>
      <c r="D9" s="8" t="s">
        <v>59</v>
      </c>
      <c r="E9" s="8" t="s">
        <v>513</v>
      </c>
      <c r="F9" s="8" t="s">
        <v>514</v>
      </c>
      <c r="G9" s="8" t="s">
        <v>515</v>
      </c>
      <c r="H9" s="6" t="s">
        <v>516</v>
      </c>
    </row>
    <row r="10" spans="1:10" x14ac:dyDescent="0.35">
      <c r="A10" s="7" t="s">
        <v>310</v>
      </c>
      <c r="B10" s="8" t="s">
        <v>6</v>
      </c>
      <c r="C10" s="8" t="s">
        <v>512</v>
      </c>
      <c r="D10" s="8" t="s">
        <v>59</v>
      </c>
      <c r="E10" s="8" t="s">
        <v>517</v>
      </c>
      <c r="F10" s="8" t="s">
        <v>518</v>
      </c>
      <c r="G10" s="8">
        <v>7</v>
      </c>
      <c r="H10" s="6" t="s">
        <v>516</v>
      </c>
    </row>
    <row r="11" spans="1:10" x14ac:dyDescent="0.35">
      <c r="A11" s="7" t="s">
        <v>310</v>
      </c>
      <c r="B11" s="8" t="s">
        <v>7</v>
      </c>
      <c r="C11" s="8" t="s">
        <v>508</v>
      </c>
      <c r="D11" s="8" t="s">
        <v>498</v>
      </c>
      <c r="E11" s="8" t="s">
        <v>519</v>
      </c>
      <c r="F11" s="8" t="s">
        <v>520</v>
      </c>
      <c r="G11" s="8" t="s">
        <v>18</v>
      </c>
      <c r="H11" s="6" t="s">
        <v>521</v>
      </c>
    </row>
    <row r="12" spans="1:10" x14ac:dyDescent="0.35">
      <c r="A12" s="7" t="s">
        <v>310</v>
      </c>
      <c r="B12" s="8" t="s">
        <v>755</v>
      </c>
      <c r="C12" s="8" t="s">
        <v>506</v>
      </c>
      <c r="D12" s="8" t="s">
        <v>498</v>
      </c>
      <c r="E12" s="8" t="s">
        <v>758</v>
      </c>
      <c r="F12" s="8" t="s">
        <v>760</v>
      </c>
      <c r="G12" s="8">
        <v>4250</v>
      </c>
      <c r="H12" s="6" t="s">
        <v>759</v>
      </c>
    </row>
    <row r="13" spans="1:10" x14ac:dyDescent="0.35">
      <c r="A13" s="7" t="s">
        <v>310</v>
      </c>
      <c r="B13" s="8" t="s">
        <v>9</v>
      </c>
      <c r="C13" s="8" t="s">
        <v>506</v>
      </c>
      <c r="D13" s="8" t="s">
        <v>59</v>
      </c>
      <c r="E13" s="8" t="s">
        <v>523</v>
      </c>
      <c r="F13" s="8" t="s">
        <v>522</v>
      </c>
      <c r="G13" s="8">
        <v>3370</v>
      </c>
      <c r="H13" s="6" t="s">
        <v>524</v>
      </c>
    </row>
    <row r="14" spans="1:10" x14ac:dyDescent="0.35">
      <c r="A14" s="7" t="s">
        <v>310</v>
      </c>
      <c r="B14" s="8" t="s">
        <v>10</v>
      </c>
      <c r="C14" s="8" t="s">
        <v>506</v>
      </c>
      <c r="D14" s="8" t="s">
        <v>59</v>
      </c>
      <c r="E14" s="8" t="s">
        <v>525</v>
      </c>
      <c r="F14" s="8" t="s">
        <v>522</v>
      </c>
      <c r="G14" s="8">
        <v>600</v>
      </c>
      <c r="H14" s="6" t="s">
        <v>524</v>
      </c>
    </row>
    <row r="15" spans="1:10" x14ac:dyDescent="0.35">
      <c r="A15" s="7" t="s">
        <v>310</v>
      </c>
      <c r="B15" s="8" t="s">
        <v>11</v>
      </c>
      <c r="C15" s="8" t="s">
        <v>506</v>
      </c>
      <c r="D15" s="8" t="s">
        <v>59</v>
      </c>
      <c r="E15" s="8" t="s">
        <v>526</v>
      </c>
      <c r="F15" s="8" t="s">
        <v>522</v>
      </c>
      <c r="G15" s="8">
        <v>630</v>
      </c>
      <c r="H15" s="6" t="s">
        <v>524</v>
      </c>
    </row>
    <row r="16" spans="1:10" x14ac:dyDescent="0.35">
      <c r="A16" s="7" t="s">
        <v>310</v>
      </c>
      <c r="B16" s="8" t="s">
        <v>12</v>
      </c>
      <c r="C16" s="8" t="s">
        <v>506</v>
      </c>
      <c r="D16" s="8" t="s">
        <v>59</v>
      </c>
      <c r="E16" s="8" t="s">
        <v>527</v>
      </c>
      <c r="F16" s="8" t="s">
        <v>522</v>
      </c>
      <c r="G16" s="8">
        <v>0</v>
      </c>
      <c r="H16" s="6" t="s">
        <v>524</v>
      </c>
    </row>
    <row r="17" spans="1:8" x14ac:dyDescent="0.35">
      <c r="A17" s="7" t="s">
        <v>310</v>
      </c>
      <c r="B17" s="8" t="s">
        <v>8</v>
      </c>
      <c r="C17" s="8" t="s">
        <v>506</v>
      </c>
      <c r="D17" s="8" t="s">
        <v>498</v>
      </c>
      <c r="E17" s="8" t="s">
        <v>762</v>
      </c>
      <c r="F17" s="8" t="s">
        <v>763</v>
      </c>
      <c r="G17" s="8">
        <v>3370</v>
      </c>
      <c r="H17" s="6" t="s">
        <v>764</v>
      </c>
    </row>
    <row r="18" spans="1:8" x14ac:dyDescent="0.35">
      <c r="A18" s="7" t="s">
        <v>310</v>
      </c>
      <c r="B18" s="8" t="s">
        <v>765</v>
      </c>
      <c r="C18" s="8" t="s">
        <v>506</v>
      </c>
      <c r="D18" s="8" t="s">
        <v>59</v>
      </c>
      <c r="E18" s="8" t="s">
        <v>767</v>
      </c>
      <c r="F18" s="8" t="s">
        <v>522</v>
      </c>
      <c r="G18" s="8">
        <v>860</v>
      </c>
      <c r="H18" s="6" t="s">
        <v>768</v>
      </c>
    </row>
    <row r="19" spans="1:8" x14ac:dyDescent="0.35">
      <c r="A19" s="7" t="s">
        <v>310</v>
      </c>
      <c r="B19" s="8" t="s">
        <v>766</v>
      </c>
      <c r="C19" s="8" t="s">
        <v>506</v>
      </c>
      <c r="D19" s="8" t="s">
        <v>59</v>
      </c>
      <c r="E19" s="8" t="s">
        <v>769</v>
      </c>
      <c r="F19" s="8" t="s">
        <v>522</v>
      </c>
      <c r="G19" s="8">
        <v>20</v>
      </c>
      <c r="H19" s="6" t="s">
        <v>770</v>
      </c>
    </row>
    <row r="20" spans="1:8" x14ac:dyDescent="0.35">
      <c r="A20" s="7" t="s">
        <v>310</v>
      </c>
      <c r="B20" s="8" t="s">
        <v>13</v>
      </c>
      <c r="C20" s="8" t="s">
        <v>529</v>
      </c>
      <c r="D20" s="8" t="s">
        <v>530</v>
      </c>
      <c r="E20" s="8" t="s">
        <v>771</v>
      </c>
      <c r="F20" s="8" t="s">
        <v>531</v>
      </c>
      <c r="G20" s="17">
        <v>0.79300000000000004</v>
      </c>
      <c r="H20" s="6" t="s">
        <v>746</v>
      </c>
    </row>
    <row r="21" spans="1:8" x14ac:dyDescent="0.35">
      <c r="A21" s="7" t="s">
        <v>310</v>
      </c>
      <c r="B21" s="8" t="s">
        <v>744</v>
      </c>
      <c r="C21" s="8" t="s">
        <v>529</v>
      </c>
      <c r="D21" s="8" t="s">
        <v>530</v>
      </c>
      <c r="E21" s="8" t="s">
        <v>772</v>
      </c>
      <c r="F21" s="8" t="s">
        <v>531</v>
      </c>
      <c r="G21" s="17">
        <v>0.20699999999999999</v>
      </c>
      <c r="H21" s="6" t="s">
        <v>747</v>
      </c>
    </row>
    <row r="22" spans="1:8" x14ac:dyDescent="0.35">
      <c r="A22" s="7" t="s">
        <v>310</v>
      </c>
      <c r="B22" s="8" t="s">
        <v>14</v>
      </c>
      <c r="C22" s="8" t="s">
        <v>533</v>
      </c>
      <c r="D22" s="8" t="s">
        <v>59</v>
      </c>
      <c r="E22" s="8" t="s">
        <v>534</v>
      </c>
      <c r="F22" s="8" t="s">
        <v>522</v>
      </c>
      <c r="G22" s="8">
        <v>0</v>
      </c>
      <c r="H22" s="6" t="s">
        <v>535</v>
      </c>
    </row>
    <row r="23" spans="1:8" x14ac:dyDescent="0.35">
      <c r="A23" s="7" t="s">
        <v>310</v>
      </c>
      <c r="B23" s="8" t="s">
        <v>15</v>
      </c>
      <c r="C23" s="8" t="s">
        <v>508</v>
      </c>
      <c r="D23" s="8" t="s">
        <v>530</v>
      </c>
      <c r="E23" s="8" t="s">
        <v>748</v>
      </c>
      <c r="F23" s="8" t="s">
        <v>536</v>
      </c>
      <c r="G23" s="8" t="s">
        <v>19</v>
      </c>
      <c r="H23" s="6" t="s">
        <v>537</v>
      </c>
    </row>
    <row r="24" spans="1:8" x14ac:dyDescent="0.35">
      <c r="A24" s="7" t="s">
        <v>310</v>
      </c>
      <c r="B24" s="8" t="s">
        <v>745</v>
      </c>
      <c r="C24" s="8" t="s">
        <v>508</v>
      </c>
      <c r="D24" s="8" t="s">
        <v>530</v>
      </c>
      <c r="E24" s="8" t="s">
        <v>749</v>
      </c>
      <c r="F24" s="8" t="s">
        <v>536</v>
      </c>
      <c r="G24" s="8" t="s">
        <v>19</v>
      </c>
      <c r="H24" s="6" t="s">
        <v>537</v>
      </c>
    </row>
    <row r="25" spans="1:8" x14ac:dyDescent="0.35">
      <c r="A25" s="7" t="s">
        <v>310</v>
      </c>
      <c r="B25" s="8" t="s">
        <v>16</v>
      </c>
      <c r="C25" s="8" t="s">
        <v>508</v>
      </c>
      <c r="D25" s="8" t="s">
        <v>59</v>
      </c>
      <c r="E25" s="8" t="s">
        <v>538</v>
      </c>
      <c r="F25" s="8" t="s">
        <v>539</v>
      </c>
      <c r="G25" s="8" t="s">
        <v>540</v>
      </c>
      <c r="H25" s="6" t="s">
        <v>541</v>
      </c>
    </row>
    <row r="26" spans="1:8" x14ac:dyDescent="0.35">
      <c r="A26" s="7" t="s">
        <v>316</v>
      </c>
      <c r="B26" s="8" t="s">
        <v>40</v>
      </c>
      <c r="C26" s="8" t="s">
        <v>497</v>
      </c>
      <c r="D26" s="8" t="s">
        <v>498</v>
      </c>
      <c r="E26" s="8" t="s">
        <v>542</v>
      </c>
      <c r="F26" s="8" t="s">
        <v>500</v>
      </c>
      <c r="G26" s="8">
        <v>1</v>
      </c>
      <c r="H26" s="6" t="s">
        <v>543</v>
      </c>
    </row>
    <row r="27" spans="1:8" x14ac:dyDescent="0.35">
      <c r="A27" s="7" t="s">
        <v>316</v>
      </c>
      <c r="B27" s="8" t="s">
        <v>41</v>
      </c>
      <c r="C27" s="8" t="s">
        <v>502</v>
      </c>
      <c r="D27" s="8" t="s">
        <v>498</v>
      </c>
      <c r="E27" s="8" t="s">
        <v>544</v>
      </c>
      <c r="F27" s="8" t="s">
        <v>504</v>
      </c>
      <c r="G27" s="14">
        <v>45985</v>
      </c>
      <c r="H27" s="6" t="s">
        <v>545</v>
      </c>
    </row>
    <row r="28" spans="1:8" x14ac:dyDescent="0.35">
      <c r="A28" s="7" t="s">
        <v>316</v>
      </c>
      <c r="B28" s="8" t="s">
        <v>42</v>
      </c>
      <c r="C28" s="8" t="s">
        <v>502</v>
      </c>
      <c r="D28" s="8" t="s">
        <v>59</v>
      </c>
      <c r="E28" s="8" t="s">
        <v>546</v>
      </c>
      <c r="F28" s="8" t="s">
        <v>504</v>
      </c>
      <c r="G28" s="14">
        <v>45989</v>
      </c>
      <c r="H28" s="6" t="s">
        <v>547</v>
      </c>
    </row>
    <row r="29" spans="1:8" x14ac:dyDescent="0.35">
      <c r="A29" s="7" t="s">
        <v>316</v>
      </c>
      <c r="B29" s="8" t="s">
        <v>43</v>
      </c>
      <c r="C29" s="8" t="s">
        <v>508</v>
      </c>
      <c r="D29" s="8" t="s">
        <v>498</v>
      </c>
      <c r="E29" s="8" t="s">
        <v>548</v>
      </c>
      <c r="F29" s="8" t="s">
        <v>549</v>
      </c>
      <c r="G29" s="8" t="s">
        <v>56</v>
      </c>
      <c r="H29" s="6" t="s">
        <v>550</v>
      </c>
    </row>
    <row r="30" spans="1:8" x14ac:dyDescent="0.35">
      <c r="A30" s="7" t="s">
        <v>316</v>
      </c>
      <c r="B30" s="8" t="s">
        <v>44</v>
      </c>
      <c r="C30" s="8" t="s">
        <v>508</v>
      </c>
      <c r="D30" s="8" t="s">
        <v>498</v>
      </c>
      <c r="E30" s="8" t="s">
        <v>551</v>
      </c>
      <c r="F30" s="8" t="s">
        <v>552</v>
      </c>
      <c r="G30" s="8" t="s">
        <v>57</v>
      </c>
      <c r="H30" s="6" t="s">
        <v>553</v>
      </c>
    </row>
    <row r="31" spans="1:8" x14ac:dyDescent="0.35">
      <c r="A31" s="7" t="s">
        <v>316</v>
      </c>
      <c r="B31" s="8" t="s">
        <v>45</v>
      </c>
      <c r="C31" s="8" t="s">
        <v>506</v>
      </c>
      <c r="D31" s="8" t="s">
        <v>498</v>
      </c>
      <c r="E31" s="8" t="s">
        <v>554</v>
      </c>
      <c r="F31" s="8" t="s">
        <v>555</v>
      </c>
      <c r="G31" s="8">
        <v>4</v>
      </c>
      <c r="H31" s="6" t="s">
        <v>556</v>
      </c>
    </row>
    <row r="32" spans="1:8" x14ac:dyDescent="0.35">
      <c r="A32" s="7" t="s">
        <v>316</v>
      </c>
      <c r="B32" s="8" t="s">
        <v>46</v>
      </c>
      <c r="C32" s="8" t="s">
        <v>508</v>
      </c>
      <c r="D32" s="8" t="s">
        <v>498</v>
      </c>
      <c r="E32" s="8" t="s">
        <v>557</v>
      </c>
      <c r="F32" s="8" t="s">
        <v>520</v>
      </c>
      <c r="G32" s="8" t="s">
        <v>58</v>
      </c>
      <c r="H32" s="6" t="s">
        <v>558</v>
      </c>
    </row>
    <row r="33" spans="1:8" x14ac:dyDescent="0.35">
      <c r="A33" s="7" t="s">
        <v>316</v>
      </c>
      <c r="B33" s="8" t="s">
        <v>47</v>
      </c>
      <c r="C33" s="8" t="s">
        <v>506</v>
      </c>
      <c r="D33" s="8" t="s">
        <v>498</v>
      </c>
      <c r="E33" s="8" t="s">
        <v>559</v>
      </c>
      <c r="F33" s="8" t="s">
        <v>560</v>
      </c>
      <c r="G33" s="8">
        <v>60</v>
      </c>
      <c r="H33" s="6" t="s">
        <v>561</v>
      </c>
    </row>
    <row r="34" spans="1:8" x14ac:dyDescent="0.35">
      <c r="A34" s="7" t="s">
        <v>316</v>
      </c>
      <c r="B34" s="8" t="s">
        <v>48</v>
      </c>
      <c r="C34" s="8" t="s">
        <v>508</v>
      </c>
      <c r="D34" s="8" t="s">
        <v>59</v>
      </c>
      <c r="E34" s="8" t="s">
        <v>562</v>
      </c>
      <c r="F34" s="8" t="s">
        <v>563</v>
      </c>
      <c r="G34" s="8" t="s">
        <v>59</v>
      </c>
      <c r="H34" s="6" t="s">
        <v>564</v>
      </c>
    </row>
    <row r="35" spans="1:8" x14ac:dyDescent="0.35">
      <c r="A35" s="7" t="s">
        <v>316</v>
      </c>
      <c r="B35" s="8" t="s">
        <v>49</v>
      </c>
      <c r="C35" s="8" t="s">
        <v>506</v>
      </c>
      <c r="D35" s="8" t="s">
        <v>498</v>
      </c>
      <c r="E35" s="8" t="s">
        <v>565</v>
      </c>
      <c r="F35" s="8" t="s">
        <v>522</v>
      </c>
      <c r="G35" s="8">
        <v>32</v>
      </c>
      <c r="H35" s="6" t="s">
        <v>566</v>
      </c>
    </row>
    <row r="36" spans="1:8" x14ac:dyDescent="0.35">
      <c r="A36" s="7" t="s">
        <v>316</v>
      </c>
      <c r="B36" s="8" t="s">
        <v>50</v>
      </c>
      <c r="C36" s="8" t="s">
        <v>506</v>
      </c>
      <c r="D36" s="8" t="s">
        <v>498</v>
      </c>
      <c r="E36" s="8" t="s">
        <v>567</v>
      </c>
      <c r="F36" s="8" t="s">
        <v>522</v>
      </c>
      <c r="G36" s="8">
        <v>1280</v>
      </c>
      <c r="H36" s="6" t="s">
        <v>568</v>
      </c>
    </row>
    <row r="37" spans="1:8" x14ac:dyDescent="0.35">
      <c r="A37" s="7" t="s">
        <v>316</v>
      </c>
      <c r="B37" s="8" t="s">
        <v>51</v>
      </c>
      <c r="C37" s="8" t="s">
        <v>508</v>
      </c>
      <c r="D37" s="8" t="s">
        <v>59</v>
      </c>
      <c r="E37" s="8" t="s">
        <v>569</v>
      </c>
      <c r="F37" s="8" t="s">
        <v>563</v>
      </c>
      <c r="G37" s="8" t="s">
        <v>60</v>
      </c>
      <c r="H37" s="6" t="s">
        <v>570</v>
      </c>
    </row>
    <row r="38" spans="1:8" x14ac:dyDescent="0.35">
      <c r="A38" s="7" t="s">
        <v>316</v>
      </c>
      <c r="B38" s="8" t="s">
        <v>52</v>
      </c>
      <c r="C38" s="8" t="s">
        <v>508</v>
      </c>
      <c r="D38" s="8" t="s">
        <v>59</v>
      </c>
      <c r="E38" s="8" t="s">
        <v>571</v>
      </c>
      <c r="F38" s="8" t="s">
        <v>572</v>
      </c>
      <c r="G38" s="8" t="s">
        <v>61</v>
      </c>
      <c r="H38" s="6" t="s">
        <v>573</v>
      </c>
    </row>
    <row r="39" spans="1:8" x14ac:dyDescent="0.35">
      <c r="A39" s="7" t="s">
        <v>316</v>
      </c>
      <c r="B39" s="8" t="s">
        <v>53</v>
      </c>
      <c r="C39" s="8" t="s">
        <v>512</v>
      </c>
      <c r="D39" s="8" t="s">
        <v>59</v>
      </c>
      <c r="E39" s="8" t="s">
        <v>574</v>
      </c>
      <c r="F39" s="8" t="s">
        <v>575</v>
      </c>
      <c r="G39" s="8">
        <v>2</v>
      </c>
      <c r="H39" s="6" t="s">
        <v>576</v>
      </c>
    </row>
    <row r="40" spans="1:8" x14ac:dyDescent="0.35">
      <c r="A40" s="7" t="s">
        <v>316</v>
      </c>
      <c r="B40" s="8" t="s">
        <v>54</v>
      </c>
      <c r="C40" s="8" t="s">
        <v>508</v>
      </c>
      <c r="D40" s="8" t="s">
        <v>498</v>
      </c>
      <c r="E40" s="8" t="s">
        <v>577</v>
      </c>
      <c r="F40" s="8" t="s">
        <v>578</v>
      </c>
      <c r="G40" s="8" t="s">
        <v>62</v>
      </c>
      <c r="H40" s="6" t="s">
        <v>579</v>
      </c>
    </row>
    <row r="41" spans="1:8" x14ac:dyDescent="0.35">
      <c r="A41" s="7" t="s">
        <v>316</v>
      </c>
      <c r="B41" s="8" t="s">
        <v>16</v>
      </c>
      <c r="C41" s="8" t="s">
        <v>508</v>
      </c>
      <c r="D41" s="8" t="s">
        <v>59</v>
      </c>
      <c r="E41" s="8" t="s">
        <v>580</v>
      </c>
      <c r="F41" s="8" t="s">
        <v>539</v>
      </c>
      <c r="G41" s="8" t="s">
        <v>581</v>
      </c>
      <c r="H41" s="6" t="s">
        <v>541</v>
      </c>
    </row>
    <row r="42" spans="1:8" x14ac:dyDescent="0.35">
      <c r="A42" s="7" t="s">
        <v>322</v>
      </c>
      <c r="B42" s="8" t="s">
        <v>53</v>
      </c>
      <c r="C42" s="8" t="s">
        <v>512</v>
      </c>
      <c r="D42" s="8" t="s">
        <v>498</v>
      </c>
      <c r="E42" s="8" t="s">
        <v>582</v>
      </c>
      <c r="F42" s="8" t="s">
        <v>583</v>
      </c>
      <c r="G42" s="8">
        <v>2</v>
      </c>
      <c r="H42" s="6" t="s">
        <v>576</v>
      </c>
    </row>
    <row r="43" spans="1:8" x14ac:dyDescent="0.35">
      <c r="A43" s="7" t="s">
        <v>322</v>
      </c>
      <c r="B43" s="8" t="s">
        <v>130</v>
      </c>
      <c r="C43" s="8" t="s">
        <v>508</v>
      </c>
      <c r="D43" s="8" t="s">
        <v>498</v>
      </c>
      <c r="E43" s="8" t="s">
        <v>584</v>
      </c>
      <c r="F43" s="8" t="s">
        <v>549</v>
      </c>
      <c r="G43" s="8" t="s">
        <v>139</v>
      </c>
      <c r="H43" s="6" t="s">
        <v>585</v>
      </c>
    </row>
    <row r="44" spans="1:8" x14ac:dyDescent="0.35">
      <c r="A44" s="7" t="s">
        <v>322</v>
      </c>
      <c r="B44" s="8" t="s">
        <v>131</v>
      </c>
      <c r="C44" s="8" t="s">
        <v>508</v>
      </c>
      <c r="D44" s="8" t="s">
        <v>59</v>
      </c>
      <c r="E44" s="8" t="s">
        <v>586</v>
      </c>
      <c r="F44" s="8" t="s">
        <v>587</v>
      </c>
      <c r="G44" s="8">
        <v>1091796152001</v>
      </c>
      <c r="H44" s="6" t="s">
        <v>588</v>
      </c>
    </row>
    <row r="45" spans="1:8" x14ac:dyDescent="0.35">
      <c r="A45" s="7" t="s">
        <v>322</v>
      </c>
      <c r="B45" s="8" t="s">
        <v>132</v>
      </c>
      <c r="C45" s="8" t="s">
        <v>502</v>
      </c>
      <c r="D45" s="8" t="s">
        <v>498</v>
      </c>
      <c r="E45" s="8" t="s">
        <v>589</v>
      </c>
      <c r="F45" s="8" t="s">
        <v>504</v>
      </c>
      <c r="G45" s="14">
        <v>45991</v>
      </c>
      <c r="H45" s="6" t="s">
        <v>590</v>
      </c>
    </row>
    <row r="46" spans="1:8" x14ac:dyDescent="0.35">
      <c r="A46" s="7" t="s">
        <v>322</v>
      </c>
      <c r="B46" s="8" t="s">
        <v>133</v>
      </c>
      <c r="C46" s="8" t="s">
        <v>502</v>
      </c>
      <c r="D46" s="8" t="s">
        <v>59</v>
      </c>
      <c r="E46" s="8" t="s">
        <v>591</v>
      </c>
      <c r="F46" s="8" t="s">
        <v>504</v>
      </c>
      <c r="G46" s="14">
        <v>46052</v>
      </c>
      <c r="H46" s="6" t="s">
        <v>592</v>
      </c>
    </row>
    <row r="47" spans="1:8" x14ac:dyDescent="0.35">
      <c r="A47" s="7" t="s">
        <v>322</v>
      </c>
      <c r="B47" s="8" t="s">
        <v>134</v>
      </c>
      <c r="C47" s="8" t="s">
        <v>593</v>
      </c>
      <c r="D47" s="8" t="s">
        <v>498</v>
      </c>
      <c r="E47" s="8" t="s">
        <v>594</v>
      </c>
      <c r="F47" s="8" t="s">
        <v>522</v>
      </c>
      <c r="G47" s="8">
        <v>1328.4</v>
      </c>
      <c r="H47" s="6" t="s">
        <v>595</v>
      </c>
    </row>
    <row r="48" spans="1:8" x14ac:dyDescent="0.35">
      <c r="A48" s="7" t="s">
        <v>322</v>
      </c>
      <c r="B48" s="8" t="s">
        <v>135</v>
      </c>
      <c r="C48" s="8" t="s">
        <v>508</v>
      </c>
      <c r="D48" s="8" t="s">
        <v>498</v>
      </c>
      <c r="E48" s="8" t="s">
        <v>596</v>
      </c>
      <c r="F48" s="8" t="s">
        <v>597</v>
      </c>
      <c r="G48" s="8" t="s">
        <v>141</v>
      </c>
      <c r="H48" s="6" t="s">
        <v>320</v>
      </c>
    </row>
    <row r="49" spans="1:8" x14ac:dyDescent="0.35">
      <c r="A49" s="7" t="s">
        <v>322</v>
      </c>
      <c r="B49" s="8" t="s">
        <v>136</v>
      </c>
      <c r="C49" s="8" t="s">
        <v>593</v>
      </c>
      <c r="D49" s="8" t="s">
        <v>59</v>
      </c>
      <c r="E49" s="8" t="s">
        <v>598</v>
      </c>
      <c r="F49" s="8" t="s">
        <v>522</v>
      </c>
      <c r="G49" s="8">
        <v>0</v>
      </c>
      <c r="H49" s="6" t="s">
        <v>599</v>
      </c>
    </row>
    <row r="50" spans="1:8" x14ac:dyDescent="0.35">
      <c r="A50" s="7" t="s">
        <v>322</v>
      </c>
      <c r="B50" s="8" t="s">
        <v>137</v>
      </c>
      <c r="C50" s="8" t="s">
        <v>593</v>
      </c>
      <c r="D50" s="8" t="s">
        <v>498</v>
      </c>
      <c r="E50" s="8" t="s">
        <v>600</v>
      </c>
      <c r="F50" s="8" t="s">
        <v>522</v>
      </c>
      <c r="G50" s="8">
        <v>1328.4</v>
      </c>
      <c r="H50" s="6" t="s">
        <v>576</v>
      </c>
    </row>
    <row r="51" spans="1:8" x14ac:dyDescent="0.35">
      <c r="A51" s="7" t="s">
        <v>322</v>
      </c>
      <c r="B51" s="8" t="s">
        <v>138</v>
      </c>
      <c r="C51" s="8" t="s">
        <v>506</v>
      </c>
      <c r="D51" s="8" t="s">
        <v>530</v>
      </c>
      <c r="E51" s="8" t="s">
        <v>601</v>
      </c>
      <c r="F51" s="8" t="s">
        <v>531</v>
      </c>
      <c r="G51" s="8">
        <v>15</v>
      </c>
      <c r="H51" s="6" t="s">
        <v>602</v>
      </c>
    </row>
    <row r="52" spans="1:8" x14ac:dyDescent="0.35">
      <c r="A52" s="7" t="s">
        <v>322</v>
      </c>
      <c r="B52" s="8" t="s">
        <v>16</v>
      </c>
      <c r="C52" s="8" t="s">
        <v>508</v>
      </c>
      <c r="D52" s="8" t="s">
        <v>59</v>
      </c>
      <c r="E52" s="8" t="s">
        <v>603</v>
      </c>
      <c r="F52" s="8" t="s">
        <v>539</v>
      </c>
      <c r="G52" s="8"/>
      <c r="H52" s="6" t="s">
        <v>604</v>
      </c>
    </row>
    <row r="53" spans="1:8" x14ac:dyDescent="0.35">
      <c r="A53" s="7" t="s">
        <v>330</v>
      </c>
      <c r="B53" s="8" t="s">
        <v>2</v>
      </c>
      <c r="C53" s="8" t="s">
        <v>506</v>
      </c>
      <c r="D53" s="8" t="s">
        <v>498</v>
      </c>
      <c r="E53" s="8" t="s">
        <v>605</v>
      </c>
      <c r="F53" s="15">
        <v>19360</v>
      </c>
      <c r="G53" s="8">
        <v>23</v>
      </c>
      <c r="H53" s="6" t="s">
        <v>606</v>
      </c>
    </row>
    <row r="54" spans="1:8" x14ac:dyDescent="0.35">
      <c r="A54" s="7" t="s">
        <v>330</v>
      </c>
      <c r="B54" s="8" t="s">
        <v>163</v>
      </c>
      <c r="C54" s="8" t="s">
        <v>607</v>
      </c>
      <c r="D54" s="8" t="s">
        <v>498</v>
      </c>
      <c r="E54" s="8" t="s">
        <v>608</v>
      </c>
      <c r="F54" s="8" t="s">
        <v>609</v>
      </c>
      <c r="G54" s="14">
        <v>46174</v>
      </c>
      <c r="H54" s="6" t="s">
        <v>606</v>
      </c>
    </row>
    <row r="55" spans="1:8" x14ac:dyDescent="0.35">
      <c r="A55" s="7" t="s">
        <v>330</v>
      </c>
      <c r="B55" s="8" t="s">
        <v>164</v>
      </c>
      <c r="C55" s="8" t="s">
        <v>502</v>
      </c>
      <c r="D55" s="8" t="s">
        <v>59</v>
      </c>
      <c r="E55" s="8" t="s">
        <v>610</v>
      </c>
      <c r="F55" s="8" t="s">
        <v>504</v>
      </c>
      <c r="G55" s="14">
        <v>46180</v>
      </c>
      <c r="H55" s="6" t="s">
        <v>606</v>
      </c>
    </row>
    <row r="56" spans="1:8" x14ac:dyDescent="0.35">
      <c r="A56" s="7" t="s">
        <v>330</v>
      </c>
      <c r="B56" s="8" t="s">
        <v>3</v>
      </c>
      <c r="C56" s="8" t="s">
        <v>508</v>
      </c>
      <c r="D56" s="8" t="s">
        <v>498</v>
      </c>
      <c r="E56" s="8" t="s">
        <v>611</v>
      </c>
      <c r="F56" s="8" t="s">
        <v>509</v>
      </c>
      <c r="G56" s="8" t="s">
        <v>34</v>
      </c>
      <c r="H56" s="6" t="s">
        <v>510</v>
      </c>
    </row>
    <row r="57" spans="1:8" x14ac:dyDescent="0.35">
      <c r="A57" s="7" t="s">
        <v>330</v>
      </c>
      <c r="B57" s="8" t="s">
        <v>5</v>
      </c>
      <c r="C57" s="8" t="s">
        <v>508</v>
      </c>
      <c r="D57" s="8" t="s">
        <v>498</v>
      </c>
      <c r="E57" s="8" t="s">
        <v>612</v>
      </c>
      <c r="F57" s="8" t="s">
        <v>514</v>
      </c>
      <c r="G57" s="8" t="s">
        <v>170</v>
      </c>
      <c r="H57" s="6" t="s">
        <v>613</v>
      </c>
    </row>
    <row r="58" spans="1:8" x14ac:dyDescent="0.35">
      <c r="A58" s="7" t="s">
        <v>330</v>
      </c>
      <c r="B58" s="8" t="s">
        <v>165</v>
      </c>
      <c r="C58" s="8" t="s">
        <v>508</v>
      </c>
      <c r="D58" s="8" t="s">
        <v>498</v>
      </c>
      <c r="E58" s="8" t="s">
        <v>614</v>
      </c>
      <c r="F58" s="8" t="s">
        <v>520</v>
      </c>
      <c r="G58" s="8" t="s">
        <v>171</v>
      </c>
      <c r="H58" s="6" t="s">
        <v>615</v>
      </c>
    </row>
    <row r="59" spans="1:8" x14ac:dyDescent="0.35">
      <c r="A59" s="7" t="s">
        <v>330</v>
      </c>
      <c r="B59" s="8" t="s">
        <v>166</v>
      </c>
      <c r="C59" s="8" t="s">
        <v>506</v>
      </c>
      <c r="D59" s="8" t="s">
        <v>498</v>
      </c>
      <c r="E59" s="8" t="s">
        <v>616</v>
      </c>
      <c r="F59" s="8" t="s">
        <v>522</v>
      </c>
      <c r="G59" s="8">
        <v>19866</v>
      </c>
      <c r="H59" s="6" t="s">
        <v>617</v>
      </c>
    </row>
    <row r="60" spans="1:8" x14ac:dyDescent="0.35">
      <c r="A60" s="7" t="s">
        <v>330</v>
      </c>
      <c r="B60" s="8" t="s">
        <v>167</v>
      </c>
      <c r="C60" s="8" t="s">
        <v>506</v>
      </c>
      <c r="D60" s="8" t="s">
        <v>498</v>
      </c>
      <c r="E60" s="8" t="s">
        <v>618</v>
      </c>
      <c r="F60" s="8" t="s">
        <v>522</v>
      </c>
      <c r="G60" s="8">
        <v>1987</v>
      </c>
      <c r="H60" s="6" t="s">
        <v>619</v>
      </c>
    </row>
    <row r="61" spans="1:8" x14ac:dyDescent="0.35">
      <c r="A61" s="7" t="s">
        <v>330</v>
      </c>
      <c r="B61" s="8" t="s">
        <v>168</v>
      </c>
      <c r="C61" s="8" t="s">
        <v>506</v>
      </c>
      <c r="D61" s="8" t="s">
        <v>620</v>
      </c>
      <c r="E61" s="8" t="s">
        <v>621</v>
      </c>
      <c r="F61" s="8" t="s">
        <v>622</v>
      </c>
      <c r="G61" s="8">
        <v>17879</v>
      </c>
      <c r="H61" s="6" t="s">
        <v>623</v>
      </c>
    </row>
    <row r="62" spans="1:8" x14ac:dyDescent="0.35">
      <c r="A62" s="7" t="s">
        <v>337</v>
      </c>
      <c r="B62" s="8" t="s">
        <v>229</v>
      </c>
      <c r="C62" s="8" t="s">
        <v>502</v>
      </c>
      <c r="D62" s="8" t="s">
        <v>498</v>
      </c>
      <c r="E62" s="8" t="s">
        <v>624</v>
      </c>
      <c r="F62" s="8" t="s">
        <v>504</v>
      </c>
      <c r="G62" s="14">
        <v>46181</v>
      </c>
      <c r="H62" s="6" t="s">
        <v>625</v>
      </c>
    </row>
    <row r="63" spans="1:8" x14ac:dyDescent="0.35">
      <c r="A63" s="7" t="s">
        <v>337</v>
      </c>
      <c r="B63" s="8" t="s">
        <v>7</v>
      </c>
      <c r="C63" s="8" t="s">
        <v>508</v>
      </c>
      <c r="D63" s="8" t="s">
        <v>498</v>
      </c>
      <c r="E63" s="8" t="s">
        <v>626</v>
      </c>
      <c r="F63" s="8" t="s">
        <v>520</v>
      </c>
      <c r="G63" s="8" t="s">
        <v>18</v>
      </c>
      <c r="H63" s="6" t="s">
        <v>627</v>
      </c>
    </row>
    <row r="64" spans="1:8" x14ac:dyDescent="0.35">
      <c r="A64" s="7" t="s">
        <v>337</v>
      </c>
      <c r="B64" s="8" t="s">
        <v>47</v>
      </c>
      <c r="C64" s="8" t="s">
        <v>512</v>
      </c>
      <c r="D64" s="8" t="s">
        <v>498</v>
      </c>
      <c r="E64" s="8" t="s">
        <v>559</v>
      </c>
      <c r="F64" s="8" t="s">
        <v>560</v>
      </c>
      <c r="G64" s="8" t="s">
        <v>240</v>
      </c>
      <c r="H64" s="6" t="s">
        <v>628</v>
      </c>
    </row>
    <row r="65" spans="1:8" x14ac:dyDescent="0.35">
      <c r="A65" s="7" t="s">
        <v>337</v>
      </c>
      <c r="B65" s="8" t="s">
        <v>230</v>
      </c>
      <c r="C65" s="8" t="s">
        <v>506</v>
      </c>
      <c r="D65" s="8" t="s">
        <v>498</v>
      </c>
      <c r="E65" s="8" t="s">
        <v>629</v>
      </c>
      <c r="F65" s="8" t="s">
        <v>522</v>
      </c>
      <c r="G65" s="8">
        <v>18130</v>
      </c>
      <c r="H65" s="6" t="s">
        <v>615</v>
      </c>
    </row>
    <row r="66" spans="1:8" x14ac:dyDescent="0.35">
      <c r="A66" s="7" t="s">
        <v>337</v>
      </c>
      <c r="B66" s="8" t="s">
        <v>231</v>
      </c>
      <c r="C66" s="8" t="s">
        <v>506</v>
      </c>
      <c r="D66" s="8" t="s">
        <v>498</v>
      </c>
      <c r="E66" s="8" t="s">
        <v>630</v>
      </c>
      <c r="F66" s="8" t="s">
        <v>522</v>
      </c>
      <c r="G66" s="8">
        <v>12730</v>
      </c>
      <c r="H66" s="6" t="s">
        <v>631</v>
      </c>
    </row>
    <row r="67" spans="1:8" x14ac:dyDescent="0.35">
      <c r="A67" s="7" t="s">
        <v>337</v>
      </c>
      <c r="B67" s="8" t="s">
        <v>232</v>
      </c>
      <c r="C67" s="8" t="s">
        <v>506</v>
      </c>
      <c r="D67" s="8" t="s">
        <v>530</v>
      </c>
      <c r="E67" s="8" t="s">
        <v>632</v>
      </c>
      <c r="F67" s="8" t="s">
        <v>531</v>
      </c>
      <c r="G67" s="8">
        <v>5400</v>
      </c>
      <c r="H67" s="6" t="s">
        <v>633</v>
      </c>
    </row>
    <row r="68" spans="1:8" x14ac:dyDescent="0.35">
      <c r="A68" s="7" t="s">
        <v>337</v>
      </c>
      <c r="B68" s="8" t="s">
        <v>233</v>
      </c>
      <c r="C68" s="8" t="s">
        <v>506</v>
      </c>
      <c r="D68" s="8" t="s">
        <v>530</v>
      </c>
      <c r="E68" s="8" t="s">
        <v>634</v>
      </c>
      <c r="F68" s="8" t="s">
        <v>531</v>
      </c>
      <c r="G68" s="8">
        <v>540</v>
      </c>
      <c r="H68" s="6" t="s">
        <v>635</v>
      </c>
    </row>
    <row r="69" spans="1:8" x14ac:dyDescent="0.35">
      <c r="A69" s="7" t="s">
        <v>337</v>
      </c>
      <c r="B69" s="8" t="s">
        <v>234</v>
      </c>
      <c r="C69" s="8" t="s">
        <v>508</v>
      </c>
      <c r="D69" s="8" t="s">
        <v>530</v>
      </c>
      <c r="E69" s="8" t="s">
        <v>636</v>
      </c>
      <c r="F69" s="8" t="s">
        <v>637</v>
      </c>
      <c r="G69" s="8" t="s">
        <v>241</v>
      </c>
      <c r="H69" s="6" t="s">
        <v>638</v>
      </c>
    </row>
    <row r="70" spans="1:8" x14ac:dyDescent="0.35">
      <c r="A70" s="7" t="s">
        <v>343</v>
      </c>
      <c r="B70" s="8" t="s">
        <v>1</v>
      </c>
      <c r="C70" s="8" t="s">
        <v>502</v>
      </c>
      <c r="D70" s="8" t="s">
        <v>498</v>
      </c>
      <c r="E70" s="8" t="s">
        <v>639</v>
      </c>
      <c r="F70" s="8" t="s">
        <v>504</v>
      </c>
      <c r="G70" s="14">
        <v>46189</v>
      </c>
      <c r="H70" s="6" t="s">
        <v>640</v>
      </c>
    </row>
    <row r="71" spans="1:8" x14ac:dyDescent="0.35">
      <c r="A71" s="7" t="s">
        <v>343</v>
      </c>
      <c r="B71" s="8" t="s">
        <v>130</v>
      </c>
      <c r="C71" s="8" t="s">
        <v>508</v>
      </c>
      <c r="D71" s="8" t="s">
        <v>498</v>
      </c>
      <c r="E71" s="8" t="s">
        <v>641</v>
      </c>
      <c r="F71" s="8" t="s">
        <v>518</v>
      </c>
      <c r="G71" s="8" t="s">
        <v>250</v>
      </c>
      <c r="H71" s="6" t="s">
        <v>640</v>
      </c>
    </row>
    <row r="72" spans="1:8" x14ac:dyDescent="0.35">
      <c r="A72" s="7" t="s">
        <v>343</v>
      </c>
      <c r="B72" s="8" t="s">
        <v>49</v>
      </c>
      <c r="C72" s="8" t="s">
        <v>506</v>
      </c>
      <c r="D72" s="8" t="s">
        <v>498</v>
      </c>
      <c r="E72" s="8" t="s">
        <v>642</v>
      </c>
      <c r="F72" s="8" t="s">
        <v>522</v>
      </c>
      <c r="G72" s="8">
        <v>4</v>
      </c>
      <c r="H72" s="6" t="s">
        <v>643</v>
      </c>
    </row>
    <row r="73" spans="1:8" x14ac:dyDescent="0.35">
      <c r="A73" s="7" t="s">
        <v>343</v>
      </c>
      <c r="B73" s="8" t="s">
        <v>50</v>
      </c>
      <c r="C73" s="8" t="s">
        <v>506</v>
      </c>
      <c r="D73" s="8" t="s">
        <v>498</v>
      </c>
      <c r="E73" s="8" t="s">
        <v>644</v>
      </c>
      <c r="F73" s="8" t="s">
        <v>522</v>
      </c>
      <c r="G73" s="8">
        <v>40</v>
      </c>
      <c r="H73" s="6" t="s">
        <v>643</v>
      </c>
    </row>
    <row r="74" spans="1:8" x14ac:dyDescent="0.35">
      <c r="A74" s="7" t="s">
        <v>343</v>
      </c>
      <c r="B74" s="8" t="s">
        <v>46</v>
      </c>
      <c r="C74" s="8" t="s">
        <v>508</v>
      </c>
      <c r="D74" s="8" t="s">
        <v>498</v>
      </c>
      <c r="E74" s="8" t="s">
        <v>645</v>
      </c>
      <c r="F74" s="8" t="s">
        <v>520</v>
      </c>
      <c r="G74" s="8" t="s">
        <v>251</v>
      </c>
      <c r="H74" s="6" t="s">
        <v>646</v>
      </c>
    </row>
    <row r="75" spans="1:8" x14ac:dyDescent="0.35">
      <c r="A75" s="7" t="s">
        <v>343</v>
      </c>
      <c r="B75" s="8" t="s">
        <v>246</v>
      </c>
      <c r="C75" s="8" t="s">
        <v>508</v>
      </c>
      <c r="D75" s="8" t="s">
        <v>498</v>
      </c>
      <c r="E75" s="8" t="s">
        <v>647</v>
      </c>
      <c r="F75" s="8" t="s">
        <v>518</v>
      </c>
      <c r="G75" s="8" t="s">
        <v>648</v>
      </c>
      <c r="H75" s="6" t="s">
        <v>649</v>
      </c>
    </row>
    <row r="76" spans="1:8" x14ac:dyDescent="0.35">
      <c r="A76" s="7" t="s">
        <v>343</v>
      </c>
      <c r="B76" s="8" t="s">
        <v>247</v>
      </c>
      <c r="C76" s="8" t="s">
        <v>593</v>
      </c>
      <c r="D76" s="8" t="s">
        <v>498</v>
      </c>
      <c r="E76" s="8" t="s">
        <v>650</v>
      </c>
      <c r="F76" s="8" t="s">
        <v>522</v>
      </c>
      <c r="G76" s="8">
        <v>5</v>
      </c>
      <c r="H76" s="6" t="s">
        <v>651</v>
      </c>
    </row>
    <row r="77" spans="1:8" x14ac:dyDescent="0.35">
      <c r="A77" s="7" t="s">
        <v>343</v>
      </c>
      <c r="B77" s="8" t="s">
        <v>248</v>
      </c>
      <c r="C77" s="8" t="s">
        <v>508</v>
      </c>
      <c r="D77" s="8" t="s">
        <v>498</v>
      </c>
      <c r="E77" s="8" t="s">
        <v>652</v>
      </c>
      <c r="F77" s="8" t="s">
        <v>597</v>
      </c>
      <c r="G77" s="8" t="s">
        <v>141</v>
      </c>
      <c r="H77" s="6" t="s">
        <v>653</v>
      </c>
    </row>
    <row r="78" spans="1:8" x14ac:dyDescent="0.35">
      <c r="A78" s="7" t="s">
        <v>344</v>
      </c>
      <c r="B78" s="8" t="s">
        <v>1</v>
      </c>
      <c r="C78" s="8" t="s">
        <v>502</v>
      </c>
      <c r="D78" s="8" t="s">
        <v>498</v>
      </c>
      <c r="E78" s="8" t="s">
        <v>654</v>
      </c>
      <c r="F78" s="8" t="s">
        <v>504</v>
      </c>
      <c r="G78" s="14">
        <v>46115</v>
      </c>
      <c r="H78" s="6" t="s">
        <v>532</v>
      </c>
    </row>
    <row r="79" spans="1:8" x14ac:dyDescent="0.35">
      <c r="A79" s="7" t="s">
        <v>344</v>
      </c>
      <c r="B79" s="8" t="s">
        <v>281</v>
      </c>
      <c r="C79" s="8" t="s">
        <v>506</v>
      </c>
      <c r="D79" s="8" t="s">
        <v>498</v>
      </c>
      <c r="E79" s="8" t="s">
        <v>655</v>
      </c>
      <c r="F79" s="8" t="s">
        <v>522</v>
      </c>
      <c r="G79" s="8">
        <v>1090</v>
      </c>
      <c r="H79" s="6" t="s">
        <v>528</v>
      </c>
    </row>
    <row r="80" spans="1:8" x14ac:dyDescent="0.35">
      <c r="A80" s="7" t="s">
        <v>344</v>
      </c>
      <c r="B80" s="8" t="s">
        <v>282</v>
      </c>
      <c r="C80" s="8" t="s">
        <v>506</v>
      </c>
      <c r="D80" s="8" t="s">
        <v>59</v>
      </c>
      <c r="E80" s="8" t="s">
        <v>656</v>
      </c>
      <c r="F80" s="8" t="s">
        <v>522</v>
      </c>
      <c r="G80" s="8">
        <v>54.5</v>
      </c>
      <c r="H80" s="6" t="s">
        <v>528</v>
      </c>
    </row>
    <row r="81" spans="1:8" x14ac:dyDescent="0.35">
      <c r="A81" s="7" t="s">
        <v>344</v>
      </c>
      <c r="B81" s="8" t="s">
        <v>7</v>
      </c>
      <c r="C81" s="8" t="s">
        <v>508</v>
      </c>
      <c r="D81" s="8" t="s">
        <v>498</v>
      </c>
      <c r="E81" s="8" t="s">
        <v>657</v>
      </c>
      <c r="F81" s="8" t="s">
        <v>520</v>
      </c>
      <c r="G81" s="8" t="s">
        <v>283</v>
      </c>
      <c r="H81" s="6" t="s">
        <v>532</v>
      </c>
    </row>
    <row r="82" spans="1:8" x14ac:dyDescent="0.35">
      <c r="A82" s="7" t="s">
        <v>344</v>
      </c>
      <c r="B82" s="8" t="s">
        <v>130</v>
      </c>
      <c r="C82" s="8" t="s">
        <v>508</v>
      </c>
      <c r="D82" s="8" t="s">
        <v>59</v>
      </c>
      <c r="E82" s="8" t="s">
        <v>658</v>
      </c>
      <c r="F82" s="8" t="s">
        <v>518</v>
      </c>
      <c r="G82" s="8" t="s">
        <v>284</v>
      </c>
      <c r="H82" s="6" t="s">
        <v>659</v>
      </c>
    </row>
    <row r="83" spans="1:8" x14ac:dyDescent="0.35">
      <c r="A83" s="7" t="s">
        <v>344</v>
      </c>
      <c r="B83" s="8" t="s">
        <v>247</v>
      </c>
      <c r="C83" s="8" t="s">
        <v>593</v>
      </c>
      <c r="D83" s="8" t="s">
        <v>59</v>
      </c>
      <c r="E83" s="8" t="s">
        <v>660</v>
      </c>
      <c r="F83" s="8" t="s">
        <v>522</v>
      </c>
      <c r="G83" s="8">
        <v>55</v>
      </c>
      <c r="H83" s="6" t="s">
        <v>661</v>
      </c>
    </row>
    <row r="84" spans="1:8" x14ac:dyDescent="0.35">
      <c r="A84" s="7" t="s">
        <v>347</v>
      </c>
      <c r="B84" s="8" t="s">
        <v>285</v>
      </c>
      <c r="C84" s="8" t="s">
        <v>512</v>
      </c>
      <c r="D84" s="8" t="s">
        <v>498</v>
      </c>
      <c r="E84" s="8" t="s">
        <v>662</v>
      </c>
      <c r="F84" s="8" t="s">
        <v>663</v>
      </c>
      <c r="G84" s="8">
        <v>3</v>
      </c>
      <c r="H84" s="6" t="s">
        <v>599</v>
      </c>
    </row>
    <row r="85" spans="1:8" x14ac:dyDescent="0.35">
      <c r="A85" s="7" t="s">
        <v>347</v>
      </c>
      <c r="B85" s="8" t="s">
        <v>130</v>
      </c>
      <c r="C85" s="8" t="s">
        <v>508</v>
      </c>
      <c r="D85" s="8" t="s">
        <v>498</v>
      </c>
      <c r="E85" s="8" t="s">
        <v>664</v>
      </c>
      <c r="F85" s="8" t="s">
        <v>549</v>
      </c>
      <c r="G85" s="8" t="s">
        <v>149</v>
      </c>
      <c r="H85" s="6" t="s">
        <v>665</v>
      </c>
    </row>
    <row r="86" spans="1:8" x14ac:dyDescent="0.35">
      <c r="A86" s="7" t="s">
        <v>347</v>
      </c>
      <c r="B86" s="8" t="s">
        <v>1</v>
      </c>
      <c r="C86" s="8" t="s">
        <v>502</v>
      </c>
      <c r="D86" s="8" t="s">
        <v>498</v>
      </c>
      <c r="E86" s="8" t="s">
        <v>589</v>
      </c>
      <c r="F86" s="8" t="s">
        <v>504</v>
      </c>
      <c r="G86" s="14">
        <v>46042</v>
      </c>
      <c r="H86" s="6" t="s">
        <v>599</v>
      </c>
    </row>
    <row r="87" spans="1:8" x14ac:dyDescent="0.35">
      <c r="A87" s="7" t="s">
        <v>347</v>
      </c>
      <c r="B87" s="8" t="s">
        <v>247</v>
      </c>
      <c r="C87" s="8" t="s">
        <v>593</v>
      </c>
      <c r="D87" s="8" t="s">
        <v>498</v>
      </c>
      <c r="E87" s="8" t="s">
        <v>666</v>
      </c>
      <c r="F87" s="8" t="s">
        <v>522</v>
      </c>
      <c r="G87" s="8">
        <v>1002.75</v>
      </c>
      <c r="H87" s="6" t="s">
        <v>667</v>
      </c>
    </row>
    <row r="88" spans="1:8" x14ac:dyDescent="0.35">
      <c r="A88" s="7" t="s">
        <v>347</v>
      </c>
      <c r="B88" s="8" t="s">
        <v>53</v>
      </c>
      <c r="C88" s="8" t="s">
        <v>512</v>
      </c>
      <c r="D88" s="8" t="s">
        <v>498</v>
      </c>
      <c r="E88" s="8" t="s">
        <v>668</v>
      </c>
      <c r="F88" s="8" t="s">
        <v>575</v>
      </c>
      <c r="G88" s="8" t="s">
        <v>669</v>
      </c>
      <c r="H88" s="6" t="s">
        <v>670</v>
      </c>
    </row>
    <row r="89" spans="1:8" x14ac:dyDescent="0.35">
      <c r="A89" s="7" t="s">
        <v>347</v>
      </c>
      <c r="B89" s="8" t="s">
        <v>286</v>
      </c>
      <c r="C89" s="8" t="s">
        <v>508</v>
      </c>
      <c r="D89" s="8" t="s">
        <v>498</v>
      </c>
      <c r="E89" s="8" t="s">
        <v>671</v>
      </c>
      <c r="F89" s="8" t="s">
        <v>518</v>
      </c>
      <c r="G89" s="8" t="s">
        <v>287</v>
      </c>
      <c r="H89" s="6" t="s">
        <v>672</v>
      </c>
    </row>
    <row r="90" spans="1:8" x14ac:dyDescent="0.35">
      <c r="A90" s="7" t="s">
        <v>356</v>
      </c>
      <c r="B90" s="8" t="s">
        <v>1</v>
      </c>
      <c r="C90" s="8" t="s">
        <v>502</v>
      </c>
      <c r="D90" s="8" t="s">
        <v>498</v>
      </c>
      <c r="E90" s="8" t="s">
        <v>673</v>
      </c>
      <c r="F90" s="8" t="s">
        <v>504</v>
      </c>
      <c r="G90" s="14">
        <v>46181</v>
      </c>
      <c r="H90" s="6" t="s">
        <v>357</v>
      </c>
    </row>
    <row r="91" spans="1:8" x14ac:dyDescent="0.35">
      <c r="A91" s="7" t="s">
        <v>356</v>
      </c>
      <c r="B91" s="8" t="s">
        <v>294</v>
      </c>
      <c r="C91" s="8" t="s">
        <v>508</v>
      </c>
      <c r="D91" s="8" t="s">
        <v>498</v>
      </c>
      <c r="E91" s="8" t="s">
        <v>674</v>
      </c>
      <c r="F91" s="8" t="s">
        <v>518</v>
      </c>
      <c r="G91" s="8" t="s">
        <v>298</v>
      </c>
      <c r="H91" s="6" t="s">
        <v>675</v>
      </c>
    </row>
    <row r="92" spans="1:8" x14ac:dyDescent="0.35">
      <c r="A92" s="7" t="s">
        <v>356</v>
      </c>
      <c r="B92" s="8" t="s">
        <v>7</v>
      </c>
      <c r="C92" s="8" t="s">
        <v>508</v>
      </c>
      <c r="D92" s="8" t="s">
        <v>498</v>
      </c>
      <c r="E92" s="8" t="s">
        <v>676</v>
      </c>
      <c r="F92" s="8" t="s">
        <v>520</v>
      </c>
      <c r="G92" s="8" t="s">
        <v>36</v>
      </c>
      <c r="H92" s="6" t="s">
        <v>677</v>
      </c>
    </row>
    <row r="93" spans="1:8" x14ac:dyDescent="0.35">
      <c r="A93" s="7" t="s">
        <v>356</v>
      </c>
      <c r="B93" s="8" t="s">
        <v>295</v>
      </c>
      <c r="C93" s="8" t="s">
        <v>506</v>
      </c>
      <c r="D93" s="8" t="s">
        <v>498</v>
      </c>
      <c r="E93" s="8" t="s">
        <v>678</v>
      </c>
      <c r="F93" s="8" t="s">
        <v>560</v>
      </c>
      <c r="G93" s="8">
        <v>70</v>
      </c>
      <c r="H93" s="6" t="s">
        <v>679</v>
      </c>
    </row>
    <row r="94" spans="1:8" x14ac:dyDescent="0.35">
      <c r="A94" s="7" t="s">
        <v>356</v>
      </c>
      <c r="B94" s="8" t="s">
        <v>296</v>
      </c>
      <c r="C94" s="8" t="s">
        <v>506</v>
      </c>
      <c r="D94" s="8" t="s">
        <v>498</v>
      </c>
      <c r="E94" s="8" t="s">
        <v>680</v>
      </c>
      <c r="F94" s="8" t="s">
        <v>522</v>
      </c>
      <c r="G94" s="8">
        <v>50</v>
      </c>
      <c r="H94" s="6" t="s">
        <v>681</v>
      </c>
    </row>
    <row r="95" spans="1:8" x14ac:dyDescent="0.35">
      <c r="A95" s="7" t="s">
        <v>356</v>
      </c>
      <c r="B95" s="8" t="s">
        <v>297</v>
      </c>
      <c r="C95" s="8" t="s">
        <v>506</v>
      </c>
      <c r="D95" s="8" t="s">
        <v>620</v>
      </c>
      <c r="E95" s="8" t="s">
        <v>682</v>
      </c>
      <c r="F95" s="8" t="s">
        <v>683</v>
      </c>
      <c r="G95" s="8">
        <v>500</v>
      </c>
      <c r="H95" s="6" t="s">
        <v>357</v>
      </c>
    </row>
    <row r="96" spans="1:8" x14ac:dyDescent="0.35">
      <c r="A96" s="7" t="s">
        <v>354</v>
      </c>
      <c r="B96" s="8" t="s">
        <v>165</v>
      </c>
      <c r="C96" s="8" t="s">
        <v>508</v>
      </c>
      <c r="D96" s="8" t="s">
        <v>498</v>
      </c>
      <c r="E96" s="8" t="s">
        <v>684</v>
      </c>
      <c r="F96" s="8" t="s">
        <v>481</v>
      </c>
      <c r="G96" s="8" t="s">
        <v>105</v>
      </c>
      <c r="H96" s="6" t="s">
        <v>685</v>
      </c>
    </row>
    <row r="97" spans="1:8" x14ac:dyDescent="0.35">
      <c r="A97" s="7" t="s">
        <v>354</v>
      </c>
      <c r="B97" s="8" t="s">
        <v>289</v>
      </c>
      <c r="C97" s="8" t="s">
        <v>508</v>
      </c>
      <c r="D97" s="8" t="s">
        <v>498</v>
      </c>
      <c r="E97" s="8" t="s">
        <v>686</v>
      </c>
      <c r="F97" s="8" t="s">
        <v>481</v>
      </c>
      <c r="G97" s="8" t="s">
        <v>56</v>
      </c>
      <c r="H97" s="6" t="s">
        <v>685</v>
      </c>
    </row>
    <row r="98" spans="1:8" x14ac:dyDescent="0.35">
      <c r="A98" s="7" t="s">
        <v>354</v>
      </c>
      <c r="B98" s="8" t="s">
        <v>290</v>
      </c>
      <c r="C98" s="8" t="s">
        <v>508</v>
      </c>
      <c r="D98" s="8" t="s">
        <v>498</v>
      </c>
      <c r="E98" s="8" t="s">
        <v>687</v>
      </c>
      <c r="F98" s="8" t="s">
        <v>481</v>
      </c>
      <c r="G98" s="8" t="s">
        <v>57</v>
      </c>
      <c r="H98" s="6" t="s">
        <v>685</v>
      </c>
    </row>
    <row r="99" spans="1:8" x14ac:dyDescent="0.35">
      <c r="A99" s="7" t="s">
        <v>354</v>
      </c>
      <c r="B99" s="8" t="s">
        <v>291</v>
      </c>
      <c r="C99" s="8" t="s">
        <v>506</v>
      </c>
      <c r="D99" s="8" t="s">
        <v>498</v>
      </c>
      <c r="E99" s="8" t="s">
        <v>688</v>
      </c>
      <c r="F99" s="8" t="s">
        <v>481</v>
      </c>
      <c r="G99" s="8">
        <v>60</v>
      </c>
      <c r="H99" s="6" t="s">
        <v>685</v>
      </c>
    </row>
    <row r="100" spans="1:8" x14ac:dyDescent="0.35">
      <c r="A100" s="7" t="s">
        <v>354</v>
      </c>
      <c r="B100" s="8" t="s">
        <v>292</v>
      </c>
      <c r="C100" s="8" t="s">
        <v>508</v>
      </c>
      <c r="D100" s="8" t="s">
        <v>498</v>
      </c>
      <c r="E100" s="8" t="s">
        <v>689</v>
      </c>
      <c r="F100" s="8" t="s">
        <v>481</v>
      </c>
      <c r="G100" s="8" t="s">
        <v>141</v>
      </c>
      <c r="H100" s="6" t="s">
        <v>685</v>
      </c>
    </row>
    <row r="101" spans="1:8" x14ac:dyDescent="0.35">
      <c r="A101" s="30" t="s">
        <v>354</v>
      </c>
      <c r="B101" s="31" t="s">
        <v>293</v>
      </c>
      <c r="C101" s="31" t="s">
        <v>508</v>
      </c>
      <c r="D101" s="31" t="s">
        <v>498</v>
      </c>
      <c r="E101" s="31" t="s">
        <v>690</v>
      </c>
      <c r="F101" s="31" t="s">
        <v>481</v>
      </c>
      <c r="G101" s="31" t="s">
        <v>62</v>
      </c>
      <c r="H101" s="32" t="s">
        <v>685</v>
      </c>
    </row>
    <row r="102" spans="1:8" x14ac:dyDescent="0.35">
      <c r="A102" s="30" t="s">
        <v>343</v>
      </c>
      <c r="B102" s="31" t="s">
        <v>711</v>
      </c>
      <c r="C102" s="31" t="s">
        <v>508</v>
      </c>
      <c r="D102" s="31" t="s">
        <v>498</v>
      </c>
      <c r="E102" s="31" t="s">
        <v>726</v>
      </c>
      <c r="F102" s="31" t="s">
        <v>727</v>
      </c>
      <c r="G102" s="31" t="s">
        <v>713</v>
      </c>
      <c r="H102" s="32" t="s">
        <v>728</v>
      </c>
    </row>
    <row r="103" spans="1:8" x14ac:dyDescent="0.35">
      <c r="A103" s="30" t="s">
        <v>344</v>
      </c>
      <c r="B103" s="31" t="s">
        <v>729</v>
      </c>
      <c r="C103" s="31" t="s">
        <v>508</v>
      </c>
      <c r="D103" s="31" t="s">
        <v>59</v>
      </c>
      <c r="E103" s="31" t="s">
        <v>743</v>
      </c>
      <c r="F103" s="31" t="s">
        <v>719</v>
      </c>
      <c r="G103" s="31" t="s">
        <v>730</v>
      </c>
      <c r="H103" s="32" t="s">
        <v>731</v>
      </c>
    </row>
    <row r="104" spans="1:8" x14ac:dyDescent="0.35">
      <c r="A104" s="30" t="s">
        <v>820</v>
      </c>
      <c r="B104" s="31" t="s">
        <v>1</v>
      </c>
      <c r="C104" s="31" t="s">
        <v>502</v>
      </c>
      <c r="D104" s="31" t="s">
        <v>498</v>
      </c>
      <c r="E104" s="31" t="s">
        <v>826</v>
      </c>
      <c r="F104" s="31" t="s">
        <v>827</v>
      </c>
      <c r="G104" s="53">
        <v>46193</v>
      </c>
      <c r="H104" s="32" t="s">
        <v>828</v>
      </c>
    </row>
    <row r="105" spans="1:8" x14ac:dyDescent="0.35">
      <c r="A105" s="30" t="s">
        <v>820</v>
      </c>
      <c r="B105" s="31" t="s">
        <v>811</v>
      </c>
      <c r="C105" s="31" t="s">
        <v>508</v>
      </c>
      <c r="D105" s="31" t="s">
        <v>498</v>
      </c>
      <c r="E105" s="31" t="s">
        <v>829</v>
      </c>
      <c r="F105" s="31" t="s">
        <v>830</v>
      </c>
      <c r="G105" s="31" t="s">
        <v>786</v>
      </c>
      <c r="H105" s="32" t="s">
        <v>831</v>
      </c>
    </row>
    <row r="106" spans="1:8" x14ac:dyDescent="0.35">
      <c r="A106" s="30" t="s">
        <v>820</v>
      </c>
      <c r="B106" s="31" t="s">
        <v>7</v>
      </c>
      <c r="C106" s="31" t="s">
        <v>508</v>
      </c>
      <c r="D106" s="31" t="s">
        <v>498</v>
      </c>
      <c r="E106" s="31" t="s">
        <v>519</v>
      </c>
      <c r="F106" s="31" t="s">
        <v>832</v>
      </c>
      <c r="G106" s="31" t="s">
        <v>18</v>
      </c>
      <c r="H106" s="32" t="s">
        <v>833</v>
      </c>
    </row>
    <row r="107" spans="1:8" x14ac:dyDescent="0.35">
      <c r="A107" s="30" t="s">
        <v>820</v>
      </c>
      <c r="B107" s="31" t="s">
        <v>815</v>
      </c>
      <c r="C107" s="31" t="s">
        <v>506</v>
      </c>
      <c r="D107" s="31" t="s">
        <v>498</v>
      </c>
      <c r="E107" s="31" t="s">
        <v>834</v>
      </c>
      <c r="F107" s="31" t="s">
        <v>555</v>
      </c>
      <c r="G107" s="31">
        <v>60</v>
      </c>
      <c r="H107" s="32" t="s">
        <v>357</v>
      </c>
    </row>
    <row r="108" spans="1:8" x14ac:dyDescent="0.35">
      <c r="A108" s="30" t="s">
        <v>820</v>
      </c>
      <c r="B108" s="31" t="s">
        <v>8</v>
      </c>
      <c r="C108" s="31" t="s">
        <v>506</v>
      </c>
      <c r="D108" s="31" t="s">
        <v>498</v>
      </c>
      <c r="E108" s="31" t="s">
        <v>835</v>
      </c>
      <c r="F108" s="31" t="s">
        <v>522</v>
      </c>
      <c r="G108" s="31">
        <v>1200</v>
      </c>
      <c r="H108" s="32" t="s">
        <v>357</v>
      </c>
    </row>
    <row r="109" spans="1:8" x14ac:dyDescent="0.35">
      <c r="A109" s="30" t="s">
        <v>820</v>
      </c>
      <c r="B109" s="31" t="s">
        <v>816</v>
      </c>
      <c r="C109" s="31" t="s">
        <v>506</v>
      </c>
      <c r="D109" s="31" t="s">
        <v>530</v>
      </c>
      <c r="E109" s="31" t="s">
        <v>836</v>
      </c>
      <c r="F109" s="31" t="s">
        <v>837</v>
      </c>
      <c r="G109" s="31">
        <v>1200</v>
      </c>
      <c r="H109" s="32" t="s">
        <v>838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0627-A5AF-4F5E-B89F-128682D0667A}">
  <sheetPr>
    <tabColor rgb="FFDC2626"/>
  </sheetPr>
  <dimension ref="A1:L16"/>
  <sheetViews>
    <sheetView showGridLines="0" workbookViewId="0"/>
  </sheetViews>
  <sheetFormatPr baseColWidth="10" defaultRowHeight="14.5" x14ac:dyDescent="0.35"/>
  <cols>
    <col min="1" max="1" width="30.54296875" customWidth="1"/>
    <col min="2" max="3" width="35.6328125" customWidth="1"/>
    <col min="4" max="4" width="15.26953125" customWidth="1"/>
    <col min="5" max="5" width="17.81640625" customWidth="1"/>
    <col min="6" max="6" width="20.36328125" customWidth="1"/>
    <col min="7" max="7" width="25.453125" customWidth="1"/>
    <col min="8" max="8" width="17.81640625" customWidth="1"/>
    <col min="9" max="9" width="67.453125" bestFit="1" customWidth="1"/>
    <col min="10" max="12" width="15.26953125" customWidth="1"/>
  </cols>
  <sheetData>
    <row r="1" spans="1:12" x14ac:dyDescent="0.35">
      <c r="A1" s="18" t="s">
        <v>691</v>
      </c>
      <c r="B1" s="18"/>
      <c r="C1" s="18"/>
      <c r="D1" s="18"/>
      <c r="E1" s="18"/>
      <c r="F1" s="18"/>
      <c r="G1" s="18"/>
      <c r="H1" s="18"/>
      <c r="I1" s="18"/>
      <c r="J1" s="19"/>
      <c r="K1" s="19"/>
      <c r="L1" s="19"/>
    </row>
    <row r="2" spans="1:12" x14ac:dyDescent="0.35">
      <c r="A2" s="21" t="s">
        <v>692</v>
      </c>
      <c r="B2" s="21"/>
      <c r="C2" s="21"/>
      <c r="D2" s="21"/>
      <c r="E2" s="21"/>
      <c r="F2" s="21"/>
      <c r="G2" s="21"/>
      <c r="H2" s="21"/>
      <c r="I2" s="21"/>
      <c r="J2" s="22"/>
      <c r="K2" s="22"/>
      <c r="L2" s="22"/>
    </row>
    <row r="3" spans="1:12" x14ac:dyDescent="0.35">
      <c r="A3" s="3"/>
      <c r="B3" s="3"/>
      <c r="C3" s="3"/>
      <c r="D3" s="3"/>
      <c r="E3" s="3"/>
      <c r="F3" s="3"/>
      <c r="G3" s="3"/>
      <c r="H3" s="3"/>
      <c r="I3" s="3"/>
    </row>
    <row r="4" spans="1:12" x14ac:dyDescent="0.35">
      <c r="A4" s="27" t="s">
        <v>300</v>
      </c>
      <c r="B4" s="28" t="s">
        <v>490</v>
      </c>
      <c r="C4" s="28" t="s">
        <v>693</v>
      </c>
      <c r="D4" s="28" t="s">
        <v>694</v>
      </c>
      <c r="E4" s="28" t="s">
        <v>695</v>
      </c>
      <c r="F4" s="28" t="s">
        <v>696</v>
      </c>
      <c r="G4" s="28" t="s">
        <v>697</v>
      </c>
      <c r="H4" s="28" t="s">
        <v>430</v>
      </c>
      <c r="I4" s="29" t="s">
        <v>698</v>
      </c>
    </row>
    <row r="5" spans="1:12" x14ac:dyDescent="0.35">
      <c r="A5" s="7" t="s">
        <v>308</v>
      </c>
      <c r="B5" s="8" t="s">
        <v>310</v>
      </c>
      <c r="C5" s="8" t="s">
        <v>0</v>
      </c>
      <c r="D5" s="26" cm="1">
        <f t="array" ref="D5">SUMPRODUCT(--(tbl_postcosecha[fecha]&gt;0))</f>
        <v>33</v>
      </c>
      <c r="E5" s="26">
        <v>0</v>
      </c>
      <c r="F5" s="26">
        <v>0</v>
      </c>
      <c r="G5" s="26" cm="1">
        <f t="array" ref="G5">SUMPRODUCT(--(tbl_postcosecha[fecha]&gt;0),--(tbl_postcosecha[variedad]=""))+SUMPRODUCT(--(tbl_postcosecha[fecha]&gt;0),--(tbl_postcosecha[tallos_cosechados]=""))+SUMPRODUCT(--(tbl_postcosecha[fecha]&gt;0),--(tbl_postcosecha[tallos_procesados]=""))</f>
        <v>5</v>
      </c>
      <c r="H5" s="23" t="str">
        <f t="shared" ref="H5:H10" si="0">IF(SUM(E5:G5)=0,"OK","REVISAR")</f>
        <v>REVISAR</v>
      </c>
      <c r="I5" s="6" t="s">
        <v>761</v>
      </c>
    </row>
    <row r="6" spans="1:12" x14ac:dyDescent="0.35">
      <c r="A6" s="7" t="s">
        <v>699</v>
      </c>
      <c r="B6" s="8" t="s">
        <v>316</v>
      </c>
      <c r="C6" s="8" t="s">
        <v>40</v>
      </c>
      <c r="D6" s="26">
        <f>ROWS(tbl_pedidos[id_pedido])</f>
        <v>178</v>
      </c>
      <c r="E6" s="26">
        <f>COUNTBLANK(tbl_pedidos[id_pedido])</f>
        <v>0</v>
      </c>
      <c r="F6" s="26">
        <f>ROWS(tbl_pedidos[id_pedido])-ROWS(_xlfn.UNIQUE(tbl_pedidos[id_pedido]))</f>
        <v>0</v>
      </c>
      <c r="G6" s="26">
        <f>COUNTBLANK(tbl_pedidos[fecha_pedido])+COUNTBLANK(tbl_pedidos[cliente_carguera])+COUNTBLANK(tbl_pedidos[cantidad_cajas])+COUNTBLANK(tbl_pedidos[color_variedad])+COUNTBLANK(tbl_pedidos[medida_cm])+COUNTBLANK(tbl_pedidos[tallos])+COUNTBLANK(tbl_pedidos[estado_pedido])</f>
        <v>21</v>
      </c>
      <c r="H6" s="23" t="str">
        <f t="shared" si="0"/>
        <v>REVISAR</v>
      </c>
      <c r="I6" s="6" t="s">
        <v>700</v>
      </c>
    </row>
    <row r="7" spans="1:12" x14ac:dyDescent="0.35">
      <c r="A7" s="7" t="s">
        <v>320</v>
      </c>
      <c r="B7" s="8" t="s">
        <v>322</v>
      </c>
      <c r="C7" s="8" t="s">
        <v>53</v>
      </c>
      <c r="D7" s="26">
        <f>ROWS(tbl_estado_cuenta[factura])</f>
        <v>67</v>
      </c>
      <c r="E7" s="26">
        <f>COUNTBLANK(tbl_estado_cuenta[factura])</f>
        <v>0</v>
      </c>
      <c r="F7" s="26">
        <f>ROWS(tbl_estado_cuenta[factura])-ROWS(_xlfn.UNIQUE(tbl_estado_cuenta[factura]))</f>
        <v>0</v>
      </c>
      <c r="G7" s="26">
        <f>COUNTBLANK(tbl_estado_cuenta[cliente])+COUNTBLANK(tbl_estado_cuenta[fecha_emision])+COUNTBLANK(tbl_estado_cuenta[valor_factura])+COUNTBLANK(tbl_estado_cuenta[estado])+COUNTBLANK(tbl_estado_cuenta[saldo])</f>
        <v>14</v>
      </c>
      <c r="H7" s="23" t="str">
        <f t="shared" si="0"/>
        <v>REVISAR</v>
      </c>
      <c r="I7" s="6" t="s">
        <v>701</v>
      </c>
    </row>
    <row r="8" spans="1:12" x14ac:dyDescent="0.35">
      <c r="A8" s="7" t="s">
        <v>328</v>
      </c>
      <c r="B8" s="8" t="s">
        <v>330</v>
      </c>
      <c r="C8" s="8" t="s">
        <v>2</v>
      </c>
      <c r="D8" s="26">
        <f>ROWS(tbl_proyeccion_cosecha[semana])</f>
        <v>30</v>
      </c>
      <c r="E8" s="26">
        <f>COUNTBLANK(tbl_proyeccion_cosecha[semana])</f>
        <v>0</v>
      </c>
      <c r="F8" s="26">
        <f>ROWS(tbl_proyeccion_cosecha[semana])-ROWS(_xlfn.UNIQUE(tbl_proyeccion_cosecha[semana]))</f>
        <v>0</v>
      </c>
      <c r="G8" s="26">
        <f>COUNTBLANK(tbl_proyeccion_cosecha[fecha_inicio])+COUNTBLANK(tbl_proyeccion_cosecha[variedades])+COUNTBLANK(tbl_proyeccion_cosecha[tallos_brutos])+COUNTBLANK(tbl_proyeccion_cosecha[tallos_vendibles])</f>
        <v>0</v>
      </c>
      <c r="H8" s="23" t="str">
        <f t="shared" si="0"/>
        <v>OK</v>
      </c>
      <c r="I8" s="6" t="s">
        <v>702</v>
      </c>
    </row>
    <row r="9" spans="1:12" x14ac:dyDescent="0.35">
      <c r="A9" s="7" t="s">
        <v>335</v>
      </c>
      <c r="B9" s="8" t="s">
        <v>337</v>
      </c>
      <c r="C9" s="8" t="s">
        <v>703</v>
      </c>
      <c r="D9" s="26">
        <f>ROWS(tbl_inventario[fecha_corte])</f>
        <v>19</v>
      </c>
      <c r="E9" s="26">
        <f>COUNTBLANK(tbl_inventario[fecha_corte])+COUNTBLANK(tbl_inventario[variedad])+COUNTBLANK(tbl_inventario[medida_cm])</f>
        <v>0</v>
      </c>
      <c r="F9" s="26"/>
      <c r="G9" s="26">
        <f>COUNTBLANK(tbl_inventario[variedad])+COUNTBLANK(tbl_inventario[medida_cm])+COUNTBLANK(tbl_inventario[tallos_producidos])+COUNTBLANK(tbl_inventario[tallos_pedidos])+COUNTBLANK(tbl_inventario[saldo_tallos])</f>
        <v>0</v>
      </c>
      <c r="H9" s="23" t="str">
        <f t="shared" si="0"/>
        <v>OK</v>
      </c>
      <c r="I9" s="6" t="s">
        <v>704</v>
      </c>
    </row>
    <row r="10" spans="1:12" x14ac:dyDescent="0.35">
      <c r="A10" s="7" t="s">
        <v>715</v>
      </c>
      <c r="B10" s="8" t="s">
        <v>343</v>
      </c>
      <c r="C10" s="8" t="s">
        <v>724</v>
      </c>
      <c r="D10" s="26">
        <f>ROWS(tbl_ventas_nacionales[fecha])</f>
        <v>22</v>
      </c>
      <c r="E10" s="26">
        <f>COUNTBLANK(tbl_ventas_nacionales[fecha])+COUNTBLANK(tbl_ventas_nacionales[cliente])+COUNTBLANK(tbl_ventas_nacionales[color_variedad])+COUNTBLANK(tbl_ventas_nacionales[tipo_venta])</f>
        <v>1</v>
      </c>
      <c r="F10" s="26"/>
      <c r="G10" s="26">
        <f>COUNTBLANK(tbl_ventas_nacionales[fecha])+COUNTBLANK(tbl_ventas_nacionales[cliente])+COUNTBLANK(tbl_ventas_nacionales[bonches])+COUNTBLANK(tbl_ventas_nacionales[tallos])+COUNTBLANK(tbl_ventas_nacionales[valor])+COUNTBLANK(tbl_ventas_nacionales[estado_pago])+COUNTBLANK(tbl_ventas_nacionales[tipo_venta])</f>
        <v>3</v>
      </c>
      <c r="H10" s="23" t="str">
        <f t="shared" si="0"/>
        <v>REVISAR</v>
      </c>
      <c r="I10" s="6" t="s">
        <v>725</v>
      </c>
    </row>
    <row r="11" spans="1:12" x14ac:dyDescent="0.35">
      <c r="A11" s="7" t="s">
        <v>732</v>
      </c>
      <c r="B11" s="8" t="s">
        <v>739</v>
      </c>
      <c r="C11" s="8" t="s">
        <v>740</v>
      </c>
      <c r="D11" s="26">
        <v>2</v>
      </c>
      <c r="E11" s="26">
        <v>0</v>
      </c>
      <c r="F11" s="26"/>
      <c r="G11" s="26">
        <v>0</v>
      </c>
      <c r="H11" s="38" t="s">
        <v>741</v>
      </c>
      <c r="I11" s="6" t="s">
        <v>742</v>
      </c>
    </row>
    <row r="12" spans="1:12" x14ac:dyDescent="0.35">
      <c r="A12" s="7" t="s">
        <v>345</v>
      </c>
      <c r="B12" s="8" t="s">
        <v>347</v>
      </c>
      <c r="C12" s="8" t="s">
        <v>285</v>
      </c>
      <c r="D12" s="26">
        <f>ROWS(tbl_notas_credito[numero])</f>
        <v>3</v>
      </c>
      <c r="E12" s="26">
        <f>COUNTBLANK(tbl_notas_credito[numero])</f>
        <v>0</v>
      </c>
      <c r="F12" s="26">
        <f>ROWS(tbl_notas_credito[numero])-ROWS(_xlfn.UNIQUE(tbl_notas_credito[numero]))</f>
        <v>0</v>
      </c>
      <c r="G12" s="26">
        <f>COUNTBLANK(tbl_notas_credito[cliente])+COUNTBLANK(tbl_notas_credito[fecha])+COUNTBLANK(tbl_notas_credito[valor])+COUNTBLANK(tbl_notas_credito[factura])+COUNTBLANK(tbl_notas_credito[motivo])</f>
        <v>0</v>
      </c>
      <c r="H12" s="23" t="str">
        <f>IF(SUM(E12:G12)=0,"OK","REVISAR")</f>
        <v>OK</v>
      </c>
      <c r="I12" s="6" t="s">
        <v>705</v>
      </c>
    </row>
    <row r="13" spans="1:12" x14ac:dyDescent="0.35">
      <c r="A13" s="7" t="s">
        <v>839</v>
      </c>
      <c r="B13" s="8" t="s">
        <v>820</v>
      </c>
      <c r="C13" s="8" t="s">
        <v>0</v>
      </c>
      <c r="D13" s="26" cm="1">
        <f t="array" ref="D13">SUMPRODUCT(--(tbl_rendimiento_procesadoras[fecha]&gt;0))</f>
        <v>0</v>
      </c>
      <c r="E13" s="26">
        <v>0</v>
      </c>
      <c r="F13" s="26">
        <v>0</v>
      </c>
      <c r="G13" s="26" cm="1">
        <f t="array" ref="G13">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fecha]=""))+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procesadora]=""))+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variedad]=""))+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tiempo_minutos]=""))+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tallos_procesados]=""))</f>
        <v>0</v>
      </c>
      <c r="H13" s="39" t="str">
        <f>IF(SUM(E13:G13)=0,"OK","REVISAR")</f>
        <v>OK</v>
      </c>
      <c r="I13" s="6" t="s">
        <v>840</v>
      </c>
    </row>
    <row r="14" spans="1:12" x14ac:dyDescent="0.35">
      <c r="A14" s="30" t="s">
        <v>353</v>
      </c>
      <c r="B14" s="31" t="s">
        <v>750</v>
      </c>
      <c r="C14" s="31" t="s">
        <v>706</v>
      </c>
      <c r="D14" s="36">
        <v>0</v>
      </c>
      <c r="E14" s="36">
        <v>0</v>
      </c>
      <c r="F14" s="36"/>
      <c r="G14" s="36">
        <v>0</v>
      </c>
      <c r="H14" s="40" t="s">
        <v>751</v>
      </c>
      <c r="I14" s="32" t="s">
        <v>752</v>
      </c>
    </row>
    <row r="16" spans="1:12" x14ac:dyDescent="0.35">
      <c r="A16" s="24" t="s">
        <v>707</v>
      </c>
      <c r="B16" s="25" t="s">
        <v>19</v>
      </c>
      <c r="C16" s="24" t="s">
        <v>708</v>
      </c>
      <c r="D16" s="20" t="s">
        <v>709</v>
      </c>
      <c r="E16" s="24" t="s">
        <v>710</v>
      </c>
      <c r="F16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GUIA_GOOGLE_SHEETS</vt:lpstr>
      <vt:lpstr>DATOS_WEB</vt:lpstr>
      <vt:lpstr>PEDIDOS</vt:lpstr>
      <vt:lpstr>ESTADO_CUENTA</vt:lpstr>
      <vt:lpstr>PROYECCION_COSECHA</vt:lpstr>
      <vt:lpstr>INVENTARIO</vt:lpstr>
      <vt:lpstr>NACIONAL</vt:lpstr>
      <vt:lpstr>NOTAS_CREDITO</vt:lpstr>
      <vt:lpstr>RENDIMIENTO_PROCESADORAS</vt:lpstr>
      <vt:lpstr>GESTOR_BD</vt:lpstr>
      <vt:lpstr>DICCIONARIO_BD</vt:lpstr>
      <vt:lpstr>CONTROL_BD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Carrera</cp:lastModifiedBy>
  <dcterms:created xsi:type="dcterms:W3CDTF">2026-06-16T22:15:40Z</dcterms:created>
  <dcterms:modified xsi:type="dcterms:W3CDTF">2026-06-22T14:50:14Z</dcterms:modified>
</cp:coreProperties>
</file>